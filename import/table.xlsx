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ISH-LIST" sheetId="1" r:id="rId5"/>
    <sheet state="visible" name="ДЕЙСТВИЯ" sheetId="2" r:id="rId6"/>
    <sheet state="visible" name="ГКС" sheetId="3" r:id="rId7"/>
    <sheet state="visible" name="БОЛТ" sheetId="4" r:id="rId8"/>
    <sheet state="visible" name="RUSAPAI" sheetId="5" r:id="rId9"/>
    <sheet state="visible" name="ОРА" sheetId="6" r:id="rId10"/>
    <sheet state="visible" name="Маркетолог" sheetId="7" r:id="rId11"/>
    <sheet state="visible" name="test" sheetId="8" r:id="rId12"/>
    <sheet state="visible" name="Отчеты" sheetId="9" r:id="rId13"/>
  </sheets>
  <definedNames>
    <definedName hidden="1" localSheetId="0" name="_xlnm._FilterDatabase">'WISH-LIST'!$A$4:$AB$53</definedName>
    <definedName hidden="1" localSheetId="1" name="_xlnm._FilterDatabase">'ДЕЙСТВИЯ'!$B$3:$I$44</definedName>
    <definedName hidden="1" localSheetId="2" name="_xlnm._FilterDatabase">'ГКС'!$B$25:$K$56</definedName>
    <definedName hidden="1" localSheetId="6" name="_xlnm._FilterDatabase">'Маркетолог'!$A$1:$G$13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0">
      <text>
        <t xml:space="preserve">Пятерочка, Родстор, ВТБ</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5">
      <text>
        <t xml:space="preserve">из 9 клиентов занесено только 5
</t>
      </text>
    </comment>
    <comment authorId="0" ref="M5">
      <text>
        <t xml:space="preserve">это общая ВП по клиенту/бюджет делится на Матлак и Якименко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8">
      <text>
        <t xml:space="preserve">размещение в путеводителе
</t>
      </text>
    </comment>
    <comment authorId="0" ref="C7">
      <text>
        <t xml:space="preserve">размещение в путеводителе, производство промо-материалов, переводы, экспертиза</t>
      </text>
    </comment>
    <comment authorId="0" ref="C22">
      <text>
        <t xml:space="preserve">В 2024 году участвовали в коллаборации блог тура Винлаба
</t>
      </text>
    </comment>
    <comment authorId="0" ref="C5">
      <text>
        <t xml:space="preserve">В 2024 году было в ДВР 4,155 млн + 2 млн в базе БОЛТа</t>
      </text>
    </comment>
    <comment authorId="0" ref="D6">
      <text>
        <t xml:space="preserve">хотим провести 2 проекта в этом году</t>
      </text>
    </comment>
    <comment authorId="0" ref="C21">
      <text>
        <t xml:space="preserve">разместили макет в путеводителе в 2025 году, в 2024 году - был бартер примерно на 500-600 тыс по блогерскому туру, плюс сделали им сайт с ВП 200 тысяч
 </t>
      </text>
    </comment>
    <comment authorId="0" ref="D5">
      <text>
        <t xml:space="preserve">задача минимум - не потерять тот уровень, который случился в 2025 году</t>
      </text>
    </comment>
  </commentList>
</comments>
</file>

<file path=xl/sharedStrings.xml><?xml version="1.0" encoding="utf-8"?>
<sst xmlns="http://schemas.openxmlformats.org/spreadsheetml/2006/main" count="3658" uniqueCount="2005">
  <si>
    <t>WISH-LIST это новые клиенты за пределами списка целевых и нецелевых клиентов, включая новые лиды. Клиенты, которых мы видим ПОТЕНЦИАЛЬНО как целевых</t>
  </si>
  <si>
    <t>Клиенты должны размещаться и перемещаться из категории ТОП-10 в категории ТОП-20 и ТОП-30 по мере прояснения ситуации. Если мы получаем отказ, то такие клиенты перемещаются в подвал ниже ТОП-30</t>
  </si>
  <si>
    <t>проекты в работе</t>
  </si>
  <si>
    <t>№</t>
  </si>
  <si>
    <t>Клиент</t>
  </si>
  <si>
    <t>Бизнес-юнит</t>
  </si>
  <si>
    <t>Отрасль</t>
  </si>
  <si>
    <t>Выручка 2025/2024</t>
  </si>
  <si>
    <t>Позиция в региональном рейтинге</t>
  </si>
  <si>
    <t>Почему хотим</t>
  </si>
  <si>
    <t>Хуки</t>
  </si>
  <si>
    <t>Что будем предлагать / Задачи маркетолога</t>
  </si>
  <si>
    <t>Контакты</t>
  </si>
  <si>
    <t>Комментарии</t>
  </si>
  <si>
    <t xml:space="preserve">Ответственный </t>
  </si>
  <si>
    <t>Топ-10</t>
  </si>
  <si>
    <t>ЛЕНТА/РЕМИ</t>
  </si>
  <si>
    <t>ДВРЕГИОН</t>
  </si>
  <si>
    <t>продуктовый ритейл</t>
  </si>
  <si>
    <t xml:space="preserve">53 млрд </t>
  </si>
  <si>
    <t>3-е место по объему выручки на ДВ</t>
  </si>
  <si>
    <t>Текущий нецелевой клиент ДВ Региона, после перехода в ЛЕНТУ надеемся получить нового целевого клиента и расширить спектр услуг</t>
  </si>
  <si>
    <t xml:space="preserve">1. Объявлен тендер на оформление нескольких магазинов - это сигнал к запуску сети и старту маркетинговой программы.                                                                                     2. Ленту ведет наш федеральный партнер ОККАМ. Контакты с руководителем Васьковым Александром поддерживает А.В. Мы ждем обратную связь от Васькова, он должен встретиться с директором по маркетингу Ленты.                    3. местный директор маркетинга Реми/Ленты - Максим Шатыро. После получение ОС от Васькова нужна первая встреча с Шатыро с участием Иры (нам с Андреем пока лучше туда не лезть. </t>
  </si>
  <si>
    <r>
      <rPr>
        <rFont val="Trebuchet MS"/>
        <b/>
        <color rgb="FF000000"/>
        <sz val="12.0"/>
      </rPr>
      <t>По ОРА</t>
    </r>
    <r>
      <rPr>
        <rFont val="Trebuchet MS"/>
        <color rgb="FF000000"/>
        <sz val="12.0"/>
      </rPr>
      <t xml:space="preserve"> - АП для Постерскопа, надо изучать всю АП Реми по Владивостоку, краю и другим регионам. Спец операция по переводу программы РЕМИ на федерального оператора - у нас есть подобный опыт, нужна проработка этого вопроса.     Возможно, что на федеральном уровне помимо стандартных 3 х 6 понадобятся альтернативные решения, в том числе и нестандартные: digital экраны, индор, нестандартные площадки.                                                   </t>
    </r>
    <r>
      <rPr>
        <rFont val="Trebuchet MS"/>
        <b/>
        <color rgb="FF000000"/>
        <sz val="12.0"/>
      </rPr>
      <t>По местному бюджету Ленты:</t>
    </r>
    <r>
      <rPr>
        <rFont val="Trebuchet MS"/>
        <color rgb="FF000000"/>
        <sz val="12.0"/>
      </rPr>
      <t xml:space="preserve"> производство, PR программа, HR - рекрутинг </t>
    </r>
  </si>
  <si>
    <t>Васьков Александр - Постерскоп; Шатыро Максим - мардир РЕМИ; найти контакт HR Реми/Ленты через Лобанову, например</t>
  </si>
  <si>
    <t>получить информацию о сроках, регионах запуска магазинов, об местном директоре по маркетингу и всему персоналу локального маркетинга, HR-директоре. Приняли участие в тендере по наружной рекламе, участвуем в тендере на SMM.</t>
  </si>
  <si>
    <t>Потапенко, Бунтуш, Тименчук, Ярич, Ионина, Гохман - штаб Спец Операции</t>
  </si>
  <si>
    <t>ТАЛАН-ВЛАДИВОСТОК</t>
  </si>
  <si>
    <t>БОЛТ/ДВРЕГИОН</t>
  </si>
  <si>
    <t>Застройщик</t>
  </si>
  <si>
    <t>топ-5 в Приморье по продажам</t>
  </si>
  <si>
    <t>Есть контакт с ген диром и маркетологом, позитивный опыт работы в ХБР</t>
  </si>
  <si>
    <t>Определен комплекс услуг по производству МОПов, навигации, SMM, специальным проектам по агентскому каналу</t>
  </si>
  <si>
    <t>Новгородов Семен Александрович - генеральный директор Ганжа Лада - маркетологов</t>
  </si>
  <si>
    <t>отрпавлен митинг репорт 22.05, ждем ОС, готовим встречи</t>
  </si>
  <si>
    <t>Якименко/Потапенко</t>
  </si>
  <si>
    <t>СЗ ТРУДОВОЕ 1/ЗАМЕТНЫЙ</t>
  </si>
  <si>
    <t>новый большой проект на 10 лет</t>
  </si>
  <si>
    <t>есть прямой контакт с владельцем</t>
  </si>
  <si>
    <t>нестандартные "заметные" решения</t>
  </si>
  <si>
    <t>Костя Пильник - маркетолог, Богдан - директор попродажам, Алексей Бойко - генеральный директор, Алексей Симанчук - акционер</t>
  </si>
  <si>
    <t>презентуем виадкуи и подземный переход в начале июня</t>
  </si>
  <si>
    <t>Потапенко/Якименко</t>
  </si>
  <si>
    <t>FESCO/ВМТП</t>
  </si>
  <si>
    <t>логистика</t>
  </si>
  <si>
    <t>29,5 млрд</t>
  </si>
  <si>
    <t>№3 в Приморском крае по логистике</t>
  </si>
  <si>
    <t>хотим превратить нецелевого клиента в целевого, есть длинная история отношений</t>
  </si>
  <si>
    <t>получили контракт на PR-паблики:)</t>
  </si>
  <si>
    <t>25/02 встреча с PR (Ярич, Ионина, Тименчук)</t>
  </si>
  <si>
    <t>Ярич/Тимменчук/Ионина</t>
  </si>
  <si>
    <t>СЗ Престиж строй/ ЖК 5 Элементов</t>
  </si>
  <si>
    <t>МОПы, навигация, коммерческая навигация</t>
  </si>
  <si>
    <t>Загороднюк Руслан Викторович - гендир, Богомаз Зоя Алексеевна - директор по строительству, Данилова Екатерина - маркетолог</t>
  </si>
  <si>
    <t>были на презентации ЖК для агентов, познакомились, готовим рабочие встрнечи с директором по строительству и маркетологом</t>
  </si>
  <si>
    <t>АЗБУКА МЕБЕЛИ</t>
  </si>
  <si>
    <t>Мебельный ритейл</t>
  </si>
  <si>
    <t>2,5 млрд</t>
  </si>
  <si>
    <t>топ-1 в мебельном ритейле ДВ</t>
  </si>
  <si>
    <t>Подготовлен маркетинговый аудит бренда</t>
  </si>
  <si>
    <t>новый мардир</t>
  </si>
  <si>
    <t>ира готовит встречу по аудиту с новым директором по маркетингу</t>
  </si>
  <si>
    <t>Тименчук/Гриднева</t>
  </si>
  <si>
    <t>Сити-Комплекс/Кварталы Чехова</t>
  </si>
  <si>
    <t>БОЛТ/ДВ Регион</t>
  </si>
  <si>
    <t>Выручка 2025 еще неизвестна</t>
  </si>
  <si>
    <t>топ-10 привлекательных застройщиков</t>
  </si>
  <si>
    <t>БОЛТ работает по контексту с ноября 2025, хотим SMM и включение навигационных проектов от ДВ Региона</t>
  </si>
  <si>
    <t>получен контракт на SMM, продолжаем вести контекст</t>
  </si>
  <si>
    <t>Екатерина Сергеевна - коммерческий директор, 79084499080, Потапенко знаком с Алишером лично</t>
  </si>
  <si>
    <t>Ярич</t>
  </si>
  <si>
    <t>Местный Хуторок</t>
  </si>
  <si>
    <t>450 млн</t>
  </si>
  <si>
    <t>топ-5 в Приморье</t>
  </si>
  <si>
    <t>новый проект розницы</t>
  </si>
  <si>
    <t>стратегический маркетинг по запуску проекта новой розницы</t>
  </si>
  <si>
    <t>Артем Бобкин, Михаил Надежкин, Иванов Юлий Анатольевич</t>
  </si>
  <si>
    <t>готовим акционера к принятию решения инвестировать в проект</t>
  </si>
  <si>
    <t>Потапенко/Тименчук/Гриднева</t>
  </si>
  <si>
    <t>ТРАНЗИТ</t>
  </si>
  <si>
    <t>64,2 млрд</t>
  </si>
  <si>
    <t>№1 в Приморском крае по логистике</t>
  </si>
  <si>
    <t>Соня хочет</t>
  </si>
  <si>
    <t>Топ-20</t>
  </si>
  <si>
    <t>ГЛК АРСЕНЬЕВ</t>
  </si>
  <si>
    <t>курорты</t>
  </si>
  <si>
    <t>№1 в Приморском крае по горнолыжным курортам</t>
  </si>
  <si>
    <t>интересный долгосрочный проект</t>
  </si>
  <si>
    <t>ребрендинг и платформа бренда, производство навигации</t>
  </si>
  <si>
    <t>ждем ОС по нашему КП</t>
  </si>
  <si>
    <t>Тименчук</t>
  </si>
  <si>
    <t>Т2</t>
  </si>
  <si>
    <t>связь</t>
  </si>
  <si>
    <t>ТОП-4 в РФ</t>
  </si>
  <si>
    <t>нецелевой клиент ГКС и целевой ОРА, Якименко работа по производству в 2025 году с менеджером АХЧ</t>
  </si>
  <si>
    <t>1)Развитие собственной рекламной платформы T2 AdTech с данными по пользователям и цифровыми инструментами для таргетинга 
2) T2 имеет репутацию регионального оператора, который улучшает связь в труднодоступных территориях Приморья.
3) Основные бюджеты маркетинга на федеральном уровне. На локальном уровне есть трейд-маркетинг, PR b HR-маркетинг в зоне ответственности иркутского офиса, с локальным офисом надо быть в контакте, они могут запрашивать цены по мимо тендерных процедур и маяковать о возможности участия в тендере.</t>
  </si>
  <si>
    <r>
      <rPr>
        <rFont val="Trebuchet MS"/>
        <color rgb="FF000000"/>
        <sz val="12.0"/>
      </rPr>
      <t xml:space="preserve">PR-сопровождение имеющихся проектов:
- организация представленности бренда на местных мероприятиях/форумах/выставках
- репортажи/истории о появлении связи на отдаленных территориях (Оффалйн: радио (гость в студии), новостные сюжеты на ТВ. Онлайн: рекламные статьи на местных сайтах, посевы.
- B2B продвижение, интервью и репортажи о том, как работает новая рекламная платформа и чем она может быть полезна местному бизнесу
-SMM/контент???? </t>
    </r>
    <r>
      <rPr>
        <rFont val="Trebuchet MS"/>
        <color rgb="FF000000"/>
        <sz val="12.0"/>
      </rPr>
      <t xml:space="preserve">это вряд ли </t>
    </r>
    <r>
      <rPr>
        <rFont val="Trebuchet MS"/>
        <color rgb="FF000000"/>
        <sz val="12.0"/>
      </rPr>
      <t xml:space="preserve">
Помощь в организации HR на локальном уровне:
- организация корпоративных мероприятий
- размещение объявлений о вакансиях (ООН, транзит)
- изготовление корпоративного мерча </t>
    </r>
    <r>
      <rPr>
        <rFont val="Trebuchet MS"/>
        <color rgb="FF000000"/>
        <sz val="12.0"/>
      </rPr>
      <t xml:space="preserve">это вряд ли </t>
    </r>
  </si>
  <si>
    <t>Анна Сергеевна - руководитель отдела маркетинга, 79940096948   Екатерина Гудкова - трейд-маркетолог +79025249903</t>
  </si>
  <si>
    <t>проведена утепляющая встреча на 24.02 на Енисейской в 15.00, отправляем презентации по навигации, PR, производству, ищем возможности выхолда оа макро-офис в Иркустске/ Получен небольшой заказ на производство.</t>
  </si>
  <si>
    <t>SITRAK</t>
  </si>
  <si>
    <t>Грузовая техника</t>
  </si>
  <si>
    <t>У Насти Г. есть контакт</t>
  </si>
  <si>
    <t>В прошлом году случился косяк по глонассу (вроде), cтояла задача пригнать большое кол-во грузовиков на ТО для обновления, чтобы не влететь на крупные штрафы. Они не хотели официально отзывать партию грузовиков, поэтому пытались найти этих ребят "вручную", все это очень сильно затянулось. Можно зацепиться за репутационное антикризисное управление в PR.</t>
  </si>
  <si>
    <t>Нужно понять, что мы можем им предложить перед заходом. План на май.</t>
  </si>
  <si>
    <t>Надо провести встречу-знакомство для диагностики клиента. После этого будет понятно, хотим мы их в виш-листе или нет.  Гридневой организовать и подготовить встречу после своего отпуска. Написал Потапенко.</t>
  </si>
  <si>
    <t>Гриднева</t>
  </si>
  <si>
    <t>ВМРП</t>
  </si>
  <si>
    <t>БОЛТ</t>
  </si>
  <si>
    <t>логистика, порт</t>
  </si>
  <si>
    <t>7,3 млрд в 2024 году</t>
  </si>
  <si>
    <t>ТОП-3 порта на ДВ</t>
  </si>
  <si>
    <t>входящий лид от Несиной</t>
  </si>
  <si>
    <t>программа B2B продвижения в Китае, возможно брендинг, китайский нейминг</t>
  </si>
  <si>
    <t>Овчинникова Юлия</t>
  </si>
  <si>
    <t>В ходе тендере по китайскому направлению выбрали не нас, можно зайти на SMM</t>
  </si>
  <si>
    <t>Потапенко/Гриднева/Ярич</t>
  </si>
  <si>
    <t>Приморский кондитер/Гринагро</t>
  </si>
  <si>
    <t>Пищевая промышленность</t>
  </si>
  <si>
    <t>259 млн руб. за 2024 год</t>
  </si>
  <si>
    <t xml:space="preserve">«Приморский кондитер» является ведущим производителем кондитерских изделий в Приморском крае и одним из крупнейших на Дальнем Востоке
. </t>
  </si>
  <si>
    <t>Большой стабильный региональный игрок</t>
  </si>
  <si>
    <t>Ранее обращались к нам по размещению листовок о наборе персонала, есть теплый контакт с начальником отдела подбора и адаптации персонала</t>
  </si>
  <si>
    <t>HR бренд</t>
  </si>
  <si>
    <t>Косач Наталья Валерьевна
Начальник отдела подбора и адаптации персонала
ООО «Сфера Менеджмент»
Телефон:8 (423) 279-55-34 доб. 2223 сот. +79146697227</t>
  </si>
  <si>
    <t>Договорились о встрече на неделе 23-27.03</t>
  </si>
  <si>
    <t>Якименко</t>
  </si>
  <si>
    <t>ФСК Регион</t>
  </si>
  <si>
    <t>ТОП-5 девелоперов РФ</t>
  </si>
  <si>
    <t>сами проявили интерес к работе с китайским рынком: продажи и B2B сотрудничество с китайскими девелоперами и инвесторами</t>
  </si>
  <si>
    <t>Разработано КП по стартовой работе с китайским рынком на 15 млн на 2026 год. Находится на рассмотрение у клиента. 18.02.2026 получили ответ, что КП по китайской программе очень дорогое, нет бюджета. Предложил клиенту осбудить возможность существенного сокращения бюджета, но Войнова вышла из коммуникации, диалог не поддерживается.
Диалог возобновился по вопросу исследования в г. Благовещенск.</t>
  </si>
  <si>
    <t>зам генерального директора, директор по маркетингу, директор по продажам, директор аналитического департамента - все участники переписки и предварительного конф-колла, который прошел в декабре 2025 года</t>
  </si>
  <si>
    <r>
      <rPr>
        <rFont val="Arial"/>
        <color rgb="FFFF0000"/>
        <sz val="12.0"/>
      </rPr>
      <t xml:space="preserve">По китайской программе предложение подвисло, потом пришел отказ двигаться по этой теме дальше. </t>
    </r>
    <r>
      <rPr>
        <rFont val="Arial"/>
        <color rgb="FFFF0000"/>
        <sz val="12.0"/>
      </rPr>
      <t xml:space="preserve">
</t>
    </r>
    <r>
      <rPr>
        <rFont val="Arial"/>
        <color rgb="FFFF0000"/>
        <sz val="12.0"/>
      </rPr>
      <t>Отправила презентации по производству навигации, пока заинтересовались оформлением фасада, отправила эскизы/варианты. Реализован первый проект объемных букв на ЖК Философия. Готовим другие предложения</t>
    </r>
  </si>
  <si>
    <t>Атлант-Девелопмент</t>
  </si>
  <si>
    <t xml:space="preserve"> 69,1 млн руб</t>
  </si>
  <si>
    <t>входит в ТОП-10 застройщиков по ПК</t>
  </si>
  <si>
    <t>На данный момент строят 4 ЖК, в которых будет коммерческая недвижимость, являются одним из крупных региональных клиентов Руссов, что говорит о наличии у них бюджета и желания инвестировать в рекламу</t>
  </si>
  <si>
    <t>1) ЖК Гринвуд сдается в этом году, там будет коммерческая недвижимость
2) очень заинтересованы в установке и согласовании собственных РК
3) сказали, что есть интерес в работе с китайским рынком
4) хотят дорожный знак</t>
  </si>
  <si>
    <t>1) стандартизация навигации коммерческой недвижимости в ЖК
2) знаки дорожного следования
3) установка и согласование рекламных конструкций
4) выходы на китайскую ЦА</t>
  </si>
  <si>
    <t>Вероника (начальник отдела маркетинга) - тел. 89502917041</t>
  </si>
  <si>
    <t>Списалась с руководителем маркетинга, она ответила, что чуть позже ответит по возможной дате встречи + жду от нее точки на карте/фото мест предполагаемой установки дорожных указателей</t>
  </si>
  <si>
    <t>Эдельвейс</t>
  </si>
  <si>
    <t>Волкова Елена</t>
  </si>
  <si>
    <t>Через Волкову не прорастает коннект</t>
  </si>
  <si>
    <t>Гиперавто</t>
  </si>
  <si>
    <t>авто ритейл</t>
  </si>
  <si>
    <t>топ-1 на ДВ</t>
  </si>
  <si>
    <t>ДНС Ритейл</t>
  </si>
  <si>
    <t>топ-1 в РФ</t>
  </si>
  <si>
    <t>Топ-30</t>
  </si>
  <si>
    <t>СИБУР</t>
  </si>
  <si>
    <t xml:space="preserve">хотим большое корпоративное мероприятие на 15-20 млн. </t>
  </si>
  <si>
    <t>даже не представляю с чем его есть и как начинать</t>
  </si>
  <si>
    <t>разыгрывают 3 тендера, даже если не подаваться в этот раз, можно выйти на общение через закупщика, указанного в контактах, например, через тендер на организацию выставки в Китае предложить WeChat</t>
  </si>
  <si>
    <t>Ионина</t>
  </si>
  <si>
    <t>Солид Банк</t>
  </si>
  <si>
    <t>Банковские услуги</t>
  </si>
  <si>
    <t>Эмпирически понятно, что у банка наблюдаются проблемы с решением маркетинговых задач, банки оформлены плохо, ПОСМы некрасивые, сайт c ИИ-дегенеративными картинками, но есть интересные банковские продукты, искали начальника отдела маркетинга</t>
  </si>
  <si>
    <t>Обновить фирменный стиль, сайт, разработать оформлением отделений банка, посмы, SMM (есть канал в TG, но совсем не интересный)</t>
  </si>
  <si>
    <t>Нужно найти</t>
  </si>
  <si>
    <t>написал на вотсап банка, попросили написать письмо, написал эмоциональное, насколько позволяет опыт, письмо, жду ответа и подтверждения встречи/ созвона</t>
  </si>
  <si>
    <t>Тедеев</t>
  </si>
  <si>
    <t>СК Олимпиец</t>
  </si>
  <si>
    <t>Спорт</t>
  </si>
  <si>
    <t>Кейс</t>
  </si>
  <si>
    <t xml:space="preserve">Новый сайт и контент </t>
  </si>
  <si>
    <t>Подряд</t>
  </si>
  <si>
    <t>провайдер</t>
  </si>
  <si>
    <t>3,04 млн руб. (23-24 год)</t>
  </si>
  <si>
    <t>По данным пользовательских оценок, рейтинг компании составляет примерно 3,8 из 5</t>
  </si>
  <si>
    <t>Раньше делали им прикольный креатив, хочется еще поработать с такими задачами</t>
  </si>
  <si>
    <t>получен контракт на разработку креатива и проведение РК</t>
  </si>
  <si>
    <t>Авторская сувенирка, креатив.</t>
  </si>
  <si>
    <t>ТЕХНОНИКОЛЬ</t>
  </si>
  <si>
    <t>строительные материалы</t>
  </si>
  <si>
    <t>Жидких</t>
  </si>
  <si>
    <t>George group</t>
  </si>
  <si>
    <t>медицина</t>
  </si>
  <si>
    <t>Huawei</t>
  </si>
  <si>
    <t>цифровая техника</t>
  </si>
  <si>
    <t>862,1 млрд юаней</t>
  </si>
  <si>
    <t>Huawei является абсолютным лидером в Приморье в категории умных часов.
В региональном рейтинге популярности брендов Huawei занимает 3-е место с долей 11,3%, уступая Samsung (16,4%) и другим китайским производителям (лидирует Xiaomi/Redmi).</t>
  </si>
  <si>
    <t>Сильный игрок на местном рынке</t>
  </si>
  <si>
    <t>Размещали их в качестве вендора от ДНС.
Часто вижу их рекламу в федеральных пабликах.</t>
  </si>
  <si>
    <t>Выяснить, есть представительство компании в регионе, как в целом выстроена маркетинговая работа. От этого плясать.</t>
  </si>
  <si>
    <t>ПОДВАЛ - провести ревизию в декабре 2026 года, опеределить цели по этим клиентам на 2027</t>
  </si>
  <si>
    <t>МОЙ БИЗНЕС</t>
  </si>
  <si>
    <t>RUSAPAI/ДВ Регион</t>
  </si>
  <si>
    <t>государство, поддержка МСП</t>
  </si>
  <si>
    <t xml:space="preserve">2 года обсуждается возможность стать подрядчиком по китайским исследованиям для МСП </t>
  </si>
  <si>
    <t>готовим цены на исследование</t>
  </si>
  <si>
    <t>Прайслист отправлен</t>
  </si>
  <si>
    <t>Клеменчук/Гриднева</t>
  </si>
  <si>
    <t>ПЯТЕРОЧКА</t>
  </si>
  <si>
    <t>розничная торговля</t>
  </si>
  <si>
    <t>июль 2025 - февраль 2026, делали ЧЕТЫРЕ попытки зайти с этой темой. Первый заход Тименчук по геосервисам летом 2025 года, повторный осенью и третья попытка со стороны Ивана Тедеева зимой прошлого года</t>
  </si>
  <si>
    <t>№1 по времени выхода на рынок - федеральной розничной сети на ДВ</t>
  </si>
  <si>
    <t>хотели экстраполировать полученный опыт с ВИНЛАБОМ на эту федеральную сеть, которая первой зашла на ДВ</t>
  </si>
  <si>
    <t>целевой клиент ДВ Региона, позитивный опыт работы на местном и федеральном уровне в рамках ДВ Региона. Хотели расшириь рамку сотрудничества по напралвению RUSAPAI. Пока не получается</t>
  </si>
  <si>
    <t xml:space="preserve">Предварительная встреча Тменчук с Ольгой Медведчиковой проведена 10.02.2026. Пытались договориться об отдельной презентации китайской программы на ДВ. </t>
  </si>
  <si>
    <t>Ольга Медведчикова - директор по маркетингу на ДВ</t>
  </si>
  <si>
    <t>Результат отрицательный - клиент не заинтересован в этой теме и не готов защищать ее перед федеральным офисом. Согласие на отдельную встречу/презентацию с участием Потапенко НЕ ПОЛУЧЕНО,  сделан драфт скелета презентации, дальнейшую работу приостановили.</t>
  </si>
  <si>
    <t>Тименчук/Потапенко/Тедеев</t>
  </si>
  <si>
    <t>ДЖЕЙ-ТИ</t>
  </si>
  <si>
    <t>производитель чая</t>
  </si>
  <si>
    <t>Выручка 2024 - 410 млн, упала почти в два раза по сравнению с 2018-2020 гг. Единственный производитель чая на ДВ</t>
  </si>
  <si>
    <t xml:space="preserve">№1 на ДВ </t>
  </si>
  <si>
    <t>старый давний клиент ДВ Региона, большой региональный охват, есть контакт с директором по маркетингу</t>
  </si>
  <si>
    <t>наружку, производство, креатив и дизайн, B2B мероприятия для партнеров??? У точнить после диагностики</t>
  </si>
  <si>
    <t>Нелли Полищук - директор по маркетингу, 79147031661</t>
  </si>
  <si>
    <t>Итоги встречи от 20.02:  1. Индийские акционеры потеряли интерес к бизнесу в РФ, хотя продать своб фабрику, либо уйти в рабьоту на федералов по их CTM (Пятерочка, Лента, Магнит). 2. Марукетинговый бюджет практически отсутствует и не тникаких планов по его активации, нет стратегии выходла из многолетнего кризиса с начала пандемии и особенно начала СВО, когда быстро был потярян рынок в ходе неправильных действий по ценообразованию. 3. Контакт с Нелли не теряем, отправляем все наши презентации и если возникнут какие-то потребности, то мы будем первыми, кто об этом узнает).</t>
  </si>
  <si>
    <t>Потапенко</t>
  </si>
  <si>
    <t>ТИЦ ХБР</t>
  </si>
  <si>
    <t>туризм/государство</t>
  </si>
  <si>
    <t>топ-3 на ДВ по въезду китайцев</t>
  </si>
  <si>
    <t>сами прислали запрос на ведение 3-х соц сетей с рыночной оценкой проекта в 6+ млн</t>
  </si>
  <si>
    <t>дать цены ниже Asia Pacific из Москвы</t>
  </si>
  <si>
    <t>выдали КП 16.02.2026, обратной связи никакой нет</t>
  </si>
  <si>
    <t>общая почта, все старые сотруджники уволились, остался вялый прежнйи директор</t>
  </si>
  <si>
    <t>готовим КП, ищем фрилансеров, выясняем их цены</t>
  </si>
  <si>
    <t>Несина/Потапенко</t>
  </si>
  <si>
    <t>ООО СЗ СК-2 (ЖК Si Lin Palace)</t>
  </si>
  <si>
    <t>застройщик</t>
  </si>
  <si>
    <t>строят ЖК премиум класса в Уссурийске, с двумя этажами коммерческих помещений</t>
  </si>
  <si>
    <t>Элитный ЖК - наверняка есть рекламный бюджет и потребность в заселяемости/продвижении
Есть коммерческие помещения, можем предложить свои услуги по навигации</t>
  </si>
  <si>
    <t>Навигация коммерческой недвижимости
PR</t>
  </si>
  <si>
    <t>89024898877 - директор СЗ</t>
  </si>
  <si>
    <t>03.03 позвонила, мне ответили, что делают самостоятельно абсолютно ве и в наших услугах нужды нет</t>
  </si>
  <si>
    <t>НОТК/КОТРА</t>
  </si>
  <si>
    <t>консульство</t>
  </si>
  <si>
    <t>Интересные задачи</t>
  </si>
  <si>
    <t>Огни продолжают участвовать в выставках и мероприятиях, сейчас занавес после Ковид уже поднимается, и есть смысл восстановить сотрудничество</t>
  </si>
  <si>
    <t>Выйти с напоминанием о славном сотрудничестве  в прошлом, застройка выставочных стендов, может, помощь в коллабах, организация мероприятий.</t>
  </si>
  <si>
    <t>Якименко/Гриднева</t>
  </si>
  <si>
    <t>Yota</t>
  </si>
  <si>
    <t>49,1 млрд руб (входит в группу Мегафон)</t>
  </si>
  <si>
    <t>входит в ТОП-5 операторов сотовой связи региона</t>
  </si>
  <si>
    <t>Есть информация, что при объединении с Мегафоном, сократили много персонала, и там не хватает рук, в тоже время вижу низкую рекламную активность</t>
  </si>
  <si>
    <t>Нехватка персонала для ведения РК (гипотеза)
Ранее славились своими яркими рекламными компаниями</t>
  </si>
  <si>
    <t>Концепции РК, комплексное размещение</t>
  </si>
  <si>
    <t>Надо найти контакты</t>
  </si>
  <si>
    <t>Rail Trast</t>
  </si>
  <si>
    <t>контейнерные перевозки</t>
  </si>
  <si>
    <t>2,5 млрд рублей</t>
  </si>
  <si>
    <t>не входит в число крупнейших транспортных гигантов региона вроде FESCO или «ТрансКонтейнера», однако занимает стабильную позицию в своей нише.</t>
  </si>
  <si>
    <t>Это был мой очень адекватный клиент. Нет понимания, почему утеряно сотрудничество.</t>
  </si>
  <si>
    <t>Положительный опыт сотрудничества в прошлом. Надо искать контакты.</t>
  </si>
  <si>
    <t>Креатив и дизайн, производство, брендирвоание контенейнеров.</t>
  </si>
  <si>
    <r>
      <rPr>
        <rFont val="Arial"/>
        <color rgb="FF000000"/>
        <sz val="12.0"/>
      </rPr>
      <t xml:space="preserve">Алексей Гайдуков, взять у Иры Т.
</t>
    </r>
    <r>
      <rPr>
        <rFont val="Arial"/>
        <color rgb="FFFF6D01"/>
        <sz val="12.0"/>
      </rPr>
      <t xml:space="preserve">Гайдуков не работает уже там, уехал из города - работает то ли в Сибири, то ли в Екате. Жданова работала с ними по сувенирке в последние разы, попробовать поднять документы/контакт
</t>
    </r>
    <r>
      <rPr>
        <rFont val="Arial"/>
        <color rgb="FF000000"/>
        <sz val="12.0"/>
      </rPr>
      <t>partner@railtrust.ru</t>
    </r>
  </si>
  <si>
    <t>Нашла почту для предложений о сотрудничестве. Написала туда.</t>
  </si>
  <si>
    <t>Планета Здоровья</t>
  </si>
  <si>
    <t>аптека</t>
  </si>
  <si>
    <t>Аптека</t>
  </si>
  <si>
    <t>крупная региональная сеть из Перми</t>
  </si>
  <si>
    <t>купили сеть Монастырев, которая была местным лидером</t>
  </si>
  <si>
    <t xml:space="preserve">•        Локальный SEO/контекст/Maps (Дальний Восток запросы), перформанс (таргет на Хабаровск/Владивосток). 
•        Локальный SMM (VK/TikTok/Одноклассники о региональных нуждах), контент для семей.
•        Региональный медиамикс 
•        Региональный PR, отстройка от Монастырева и наполнение регионального инфополя через увеличение упоминаний.
</t>
  </si>
  <si>
    <t>Сяохуншу, отзовики, POSm, проведение ситуативных промо-кампаний, отправили КП 12.02.2026, ждем ОС</t>
  </si>
  <si>
    <t>Дарья Морозова, маркетолог, +79241311311, TG: @DariVladi</t>
  </si>
  <si>
    <t>Цитата: "не придумали, как применить предложение к сети аптек в данный момент", "по российскому рынку только точечное продвижение некоторых аптек, реклама под запрос"</t>
  </si>
  <si>
    <t>Аптека Миницен</t>
  </si>
  <si>
    <t>RUSAPAI/БОЛТ/ДВРЕГИОН</t>
  </si>
  <si>
    <t>Аптечная сеть</t>
  </si>
  <si>
    <t>Поступила обратная связь, что аптека заинтересована только в привлечении групп туристов и что другие инструменты не интересуют. На предложение поделиться опытом и обсудить всё детально был игнор, потом после повторного запрос на ОС отказ.</t>
  </si>
  <si>
    <t>Чернова Александра Александровна &lt;khf815@khf.ru&gt;, (4212) 333-909, вн 2305</t>
  </si>
  <si>
    <t>отказ, не проросло китайское направление</t>
  </si>
  <si>
    <t>TFL/отель</t>
  </si>
  <si>
    <t>Гостиничный бизнес</t>
  </si>
  <si>
    <t>Бизнес диверсифицированный, открыты к сотрудничеству</t>
  </si>
  <si>
    <t>предложили Сяохуншу, отправили КП 10.02.2026, получили ОС, интересно, но пока не готовы. Надо заносить КП по China Friendly программе</t>
  </si>
  <si>
    <t>решение клиента отложено на апрель</t>
  </si>
  <si>
    <t>КОСМОС ОТЕЛЬ ГРУПП</t>
  </si>
  <si>
    <t>отельный бизнес</t>
  </si>
  <si>
    <t>2,3 млрд только у Космос Отель Менеджмент</t>
  </si>
  <si>
    <t>№1 в РФ отельная цепочка</t>
  </si>
  <si>
    <t>лидер отельного рынка РФ, поэтому хотим работать по китайскому напрвлению на ДВ и других городах на федеральном уровне</t>
  </si>
  <si>
    <t>есть контакты местного GM во Владивостоке, Андрей Буравченков из Красноярска, +79509991979, и директор по продажам Татьяна Логинова +79910699311</t>
  </si>
  <si>
    <t>вышли на департамент продаж ГО, нас пригласили в тендер по лекалам Asia Pacific, мы отказались участвовать, отношения прерваны не экологично</t>
  </si>
  <si>
    <t>Анна Наумова - директор по маркетингу, молчит как партизан в почте и в телеге</t>
  </si>
  <si>
    <t>потеребить Андрея, нужно искать через кого и на кого еще там можно выйти, чтобы расшевелить ситуацию. Давайте найдем операционного директора здесь во Владивостоке, кто отвечает за ВСЕ отели на ДВ, если есть такой человек в принципе.</t>
  </si>
  <si>
    <t>Потапенко/Веремейчик</t>
  </si>
  <si>
    <t>АВАЧИНСКОЕ</t>
  </si>
  <si>
    <t>Хочу с июня 2025</t>
  </si>
  <si>
    <t>КП на согласовании у учредителей</t>
  </si>
  <si>
    <t>Дмитрий Демидов (ИТ директор) - РП Заказчика</t>
  </si>
  <si>
    <t>Выбрали московског офрилансера на брендинг</t>
  </si>
  <si>
    <t>ТФЛ (логистика)</t>
  </si>
  <si>
    <t>раньше работали, хотим возобновить работу</t>
  </si>
  <si>
    <t>SMM, канал в TG заброшен, дата последнего поста - 26.06.2025</t>
  </si>
  <si>
    <t>Helidrom</t>
  </si>
  <si>
    <t>развлечения</t>
  </si>
  <si>
    <t>Потенциально заинтересованы в продвижении в пабликах с целью привлечения туристов из других регионов России</t>
  </si>
  <si>
    <t>продвижение в пабликах</t>
  </si>
  <si>
    <t>нецелевой клиент</t>
  </si>
  <si>
    <t>Твоя аптека</t>
  </si>
  <si>
    <t>крупный региональный игрок</t>
  </si>
  <si>
    <t>предложили SMM, ждем ОС в марте, выбрали другого местного подрядчика.</t>
  </si>
  <si>
    <t>Якименко/Тедеев</t>
  </si>
  <si>
    <t>Токио</t>
  </si>
  <si>
    <t>Хорека</t>
  </si>
  <si>
    <t xml:space="preserve">В открытых источниках данных нет. </t>
  </si>
  <si>
    <t>Лидер рынка японской кухни в Приморском крае</t>
  </si>
  <si>
    <t>При личном общении они очень интересовались продвижением на китайскую аудиторию, всегда активно участвуют во всех городских мероприятиях, сами по себе создали впечатления активных ребят, не боятся эксперементов.</t>
  </si>
  <si>
    <t>Интерес к привлечению китайских туристов. Отсутсвие собственной экспертизы в этом направлении.
Битва за название. Если проиграют, видимо будет ребрендинг.</t>
  </si>
  <si>
    <t>Система привлечения китайских гостей во Владивостоке: 
- выбор 2–3 ключевых китайских платформ (не все подряд)
- адаптация оффера под китайскую логику потребления
- работа с микро-инфлюенсерами (food, travel, students)
- навигация: как китайцу найти ресторан, заказать, оплатить
Разработка системы конверсии туриста в постоянного гостя (QR-механики для китайских гостей, закрытые предложения «только для своих», бонус за повторный визит)
Помощь в разработке и внедрении нового брендинга, в случае, если суд будет проигран.
Работа с местной аудиторией.
Управление загрузкой и средним чеком:
- акции не «для всех», а под конкретные дни/часы
- поведенческие триггеры (прийти раньше, взять больше, вернуться)
- тестирование офферов, а не разовые акции</t>
  </si>
  <si>
    <t>Анна Шаповалова, +79143350850, aashapovalova@tokyo-bar.ru
Татьяна, +79143432807
Яна, +79025543946</t>
  </si>
  <si>
    <t>Знаю, что велась некая коммуникация с РУСАПАЙ по теме аналитики китайского рынка и привлечения китайских туристов, но что конкретно было, не знаю, так как по этой теме общались Несина Люборвь и Веремейчик Андрей. Нужно поднять историю прежде, чем выходить с другими офферами.
Вика с Ваней поедут в преддверии 8 марта, пробить почву, узнать как у них дела, что актуально.</t>
  </si>
  <si>
    <t>ZARINA</t>
  </si>
  <si>
    <t>розница одежда</t>
  </si>
  <si>
    <t>Выручка выросла в 2025 году на 51% до 11 млрд рублей</t>
  </si>
  <si>
    <t>Быстро растут, делают акцент на дидижитал, ими интересуются китайские покупатели (субъективное наблюдение)</t>
  </si>
  <si>
    <t>создание уникального дизайна, идей, коллаборации</t>
  </si>
  <si>
    <t>креатив</t>
  </si>
  <si>
    <t>zarinapr@melonfashion.com</t>
  </si>
  <si>
    <t>НОВОТЕЛЬ&amp;КОСМОС</t>
  </si>
  <si>
    <t>отели</t>
  </si>
  <si>
    <t>ТОП-5 во Владивостоке</t>
  </si>
  <si>
    <t>местный и федеральный лидер отрасли, есть потенциал для работы на федеральном или межрегиональном уровне</t>
  </si>
  <si>
    <t>китайскую программу Чайна Френдли</t>
  </si>
  <si>
    <t>это франшиза, бюджетов на продвижение нет</t>
  </si>
  <si>
    <r>
      <rPr>
        <rFont val="Montserrat"/>
        <b/>
        <i/>
        <color rgb="FF000000"/>
        <sz val="12.0"/>
      </rPr>
      <t xml:space="preserve">ЦЕЛЕВЫЕ ДЕЙСТВИЯ ПО ЛИДАМ И КЛИЕНТАМ/ОТПРАВКА КП, </t>
    </r>
    <r>
      <rPr>
        <rFont val="Montserrat"/>
        <b/>
        <i/>
        <color rgb="FFFF0000"/>
        <sz val="12.0"/>
      </rPr>
      <t xml:space="preserve">АПСЕЙЛЫ, </t>
    </r>
    <r>
      <rPr>
        <rFont val="Montserrat"/>
        <b/>
        <i/>
        <color rgb="FF000000"/>
        <sz val="12.0"/>
      </rPr>
      <t>ТЕНДЕРЫ, РАБОЧИЕ ВСТРЕЧИ или хотя бы ПЛАНИРОВАНИЕ/ОЖИДАНИЕ ВСТРЕЧ</t>
    </r>
  </si>
  <si>
    <t>Заполняем помесячно, в конце месяца подводим количественные итоги и начинаем учет целевых действий в новом месяце</t>
  </si>
  <si>
    <t xml:space="preserve">
Бизнес - юнит</t>
  </si>
  <si>
    <t>КП, встречи, презентации (что предлагаем)</t>
  </si>
  <si>
    <t>Период коммуникации</t>
  </si>
  <si>
    <t>Статус действия</t>
  </si>
  <si>
    <t>Откуда лид</t>
  </si>
  <si>
    <t>Ответственный/ые за проект</t>
  </si>
  <si>
    <t>Уже сделано</t>
  </si>
  <si>
    <t>ГЛК Арсеньев</t>
  </si>
  <si>
    <t>ДВ Регион</t>
  </si>
  <si>
    <t>PR, ивенты, медиаподдержка, стать региональным маркетинговым партнером</t>
  </si>
  <si>
    <t>декабрь-нв</t>
  </si>
  <si>
    <t xml:space="preserve">Был созвон 27 февраля, были отправлены данные по производству. Планируют открытие в ноябре после сезона. Контакт - у Ирины. Возможные темы для обсуждения - продажа рекламных возможностей базы, сейчас формируется прайс, + ивенты + навигация. </t>
  </si>
  <si>
    <t>В качестве фриби подготовили аналитику по ценам размещения рекламы на ГЛК ДВ. Договорились отправить презентации по продуктам и встретиться лично в середине февраля</t>
  </si>
  <si>
    <t>Обратился самостоятельно</t>
  </si>
  <si>
    <t>Юлия Ионина</t>
  </si>
  <si>
    <t xml:space="preserve">Отправлены презентации по PR </t>
  </si>
  <si>
    <t>план встречи на март</t>
  </si>
  <si>
    <t>Пятерочка</t>
  </si>
  <si>
    <t>КП по китайским покупателям</t>
  </si>
  <si>
    <t>февраль</t>
  </si>
  <si>
    <t xml:space="preserve">Встреча Тименчук с Ольгой Медведчиковой 10.02.2026. </t>
  </si>
  <si>
    <t>Результат отрицательный - клиент не заинтересован в этой теме и не готов защищать ее перед федеральным офисом. Согласие на отдельную встречу/презентацию с участием Потапенко НЕ ПОЛУЧЕНО</t>
  </si>
  <si>
    <t>целевой клиент ДВ Региона</t>
  </si>
  <si>
    <t>Тименчук/Потапенко</t>
  </si>
  <si>
    <t>Сделан драфт скелета презентации, дальнейшую работу приостановили</t>
  </si>
  <si>
    <t>Встреча по расширению взаимодействий и новых проектах: взяли в работу предложение по продвижению кобрендинговой апельсиновой карты 5+Альфа</t>
  </si>
  <si>
    <t>По итогам встречи 10.02 готовим презентацию + бюджет апрель-декабрь 2026. штурмовка внутренняя 13.02</t>
  </si>
  <si>
    <t>Штурмовка внутренняя 13.02, готовим свое видение по карте апр-дек2026 к 20.02</t>
  </si>
  <si>
    <t>текущий клиент</t>
  </si>
  <si>
    <t>Тименчук/ Голубева</t>
  </si>
  <si>
    <t>МИРИНЭ</t>
  </si>
  <si>
    <t>КП по разработке суббренда МИРИНЭ</t>
  </si>
  <si>
    <t>встреча 08.02, КП - продажа</t>
  </si>
  <si>
    <t>Готовим нейминг до 18.02, визуальное решение до 06.03</t>
  </si>
  <si>
    <t>Тименчук/Матлак</t>
  </si>
  <si>
    <t>Проект завершён, реализовано 105 000 руб.</t>
  </si>
  <si>
    <t>РАТИМИР</t>
  </si>
  <si>
    <t>ДВ Регион/БОЛТ</t>
  </si>
  <si>
    <t xml:space="preserve">узнать статус текущий+БОЛТ </t>
  </si>
  <si>
    <t>Обратная связь: Директору некогда,
 а потом уходит в отпуск до 17.03</t>
  </si>
  <si>
    <r>
      <rPr>
        <sz val="12.0"/>
      </rPr>
      <t xml:space="preserve">Из холодных контактов есть почта  marketing@ratimir.ru  и вк менеджера по связям с общественностью Анастасии Кошельниковой - </t>
    </r>
    <r>
      <rPr>
        <color rgb="FF1155CC"/>
        <sz val="12.0"/>
        <u/>
      </rPr>
      <t>https://vk.com/id9068065</t>
    </r>
  </si>
  <si>
    <t>Матлак</t>
  </si>
  <si>
    <t>Родимая сторонка</t>
  </si>
  <si>
    <t>КП по пабликам, встреча/знакомство с БОЛТом</t>
  </si>
  <si>
    <t>январь-февраль</t>
  </si>
  <si>
    <t xml:space="preserve">ждем назначения встречи </t>
  </si>
  <si>
    <t>целевой клиент</t>
  </si>
  <si>
    <t>Голубева</t>
  </si>
  <si>
    <t>ДЖЕЙ ТИ</t>
  </si>
  <si>
    <t>первичная встреча - выявление потребностей</t>
  </si>
  <si>
    <t>По итогам встречи 20.02 убрали клиента из вищ-листа, перспективы активизации клиента могут быть только в случае снятия санкций и окончания СВО</t>
  </si>
  <si>
    <t>нет интереса развивать бизнес и бренды в РФ, соответственно падение объемов продаж и отсутствие бюджета на маркетинг</t>
  </si>
  <si>
    <t>контакт Потапенко</t>
  </si>
  <si>
    <t>проведен бенчмарк-анализ по онлайну</t>
  </si>
  <si>
    <t>Сити-Комплекс / Кварталы Чехова</t>
  </si>
  <si>
    <t>с декабря лежит КП на SMM</t>
  </si>
  <si>
    <t>планируется встреча в конце февраля</t>
  </si>
  <si>
    <t>сделали скидку 40% от стандартного КП, ждём ответ по встрече</t>
  </si>
  <si>
    <t>клиент БОЛТа</t>
  </si>
  <si>
    <t>контракт по контексту до марта</t>
  </si>
  <si>
    <t>план встеречи на март</t>
  </si>
  <si>
    <t>навигация</t>
  </si>
  <si>
    <t>отправили КП</t>
  </si>
  <si>
    <t>клиент составил пул задач, которые им нужно реализовать - от разработки платформы бренда нового ЖК, до той самой навигации. Направили клиенту на изучение наше видение</t>
  </si>
  <si>
    <t>Ярич/Якименко</t>
  </si>
  <si>
    <t>дана оюратная связь клиенту, что ым готовы взять на себя</t>
  </si>
  <si>
    <t>KISS FLOWERS (цветы)</t>
  </si>
  <si>
    <t>SMM</t>
  </si>
  <si>
    <t>выбрали другого подрядчика</t>
  </si>
  <si>
    <t>провели две встречи, подготовили индивидуальное КП, пошли на скидку в 35%</t>
  </si>
  <si>
    <t>Входящий с гео сервисов</t>
  </si>
  <si>
    <t>ждем результаты внутреннего конкурса клиента</t>
  </si>
  <si>
    <t xml:space="preserve">созвонились с маркетологом, отправили КП, заполнили файл участника тендера, дали повторно комментарии, ждем ОС
 </t>
  </si>
  <si>
    <t>входящий контакт Rusapai</t>
  </si>
  <si>
    <t>созвон, КП, файл участия в тендере</t>
  </si>
  <si>
    <t xml:space="preserve">ДВ Регион </t>
  </si>
  <si>
    <t>пока ничего, проводим диагностику и встречу-знакомство</t>
  </si>
  <si>
    <t>2-24 февраля</t>
  </si>
  <si>
    <t>провели встречу 24.02 с директором по маркетингу Анной сергеевной и трейд-маркетологом Екатериной Гудковой. Утеплили отношения. Отправляем перезентации по навигации, PR. Есть резон выходить макро-офис в Иркутске, в их зоне ответственности: PR бюджет, HR бюджет, включая ивенты. В тендерах участвовать надо, возможны дополнительные запросы Приморского офиса на котировки цен по доп услугам. Занесли китайскую тему предварительно</t>
  </si>
  <si>
    <t>Проводим диагностику потребностей, устанавливаем отношения</t>
  </si>
  <si>
    <t>лид от Потапенко</t>
  </si>
  <si>
    <t>Сяохуншу</t>
  </si>
  <si>
    <t>отправили КП 10.02.2026, клиент отложил запуск данного проекта до апреля</t>
  </si>
  <si>
    <t>заинтересованы</t>
  </si>
  <si>
    <t>лид от Веремейчика и Тедеева</t>
  </si>
  <si>
    <t>отправили КП 10/02/2026</t>
  </si>
  <si>
    <t>поставить в план на апрель</t>
  </si>
  <si>
    <t>Планета здоровья</t>
  </si>
  <si>
    <t>RUSAPAI</t>
  </si>
  <si>
    <t>Сяохуншу, размещение на геосервисе и отзовике, разработка чайна френдли, проведение ситуативных промо-кампаний</t>
  </si>
  <si>
    <t>созвонился с маркетологом, отправил КП 12.02.2026, жду ОС
19/02 Вика Якименко выйдет от ДВ Региона, возьмет у Вани контакт.
Направлена аналитика по клиенту на Якименко и Тедеева</t>
  </si>
  <si>
    <t>Настя ищет контакты ЛПР, Ваня зовет на встречу Дарью (местного маркетолога)</t>
  </si>
  <si>
    <t>лид от Тедеева, познакомился с управляющим аптек на Эгершельде, та поделилась контактом маркетолога</t>
  </si>
  <si>
    <t>отправили КП 12.02.2025</t>
  </si>
  <si>
    <t>надо добиваться конференц-колла с пермью</t>
  </si>
  <si>
    <t>ДГК</t>
  </si>
  <si>
    <t>участие в тендере</t>
  </si>
  <si>
    <t>выиграл ООО "Центр Продвижения" г.Новосибирск</t>
  </si>
  <si>
    <t>Клеменчук</t>
  </si>
  <si>
    <t>подали заявку</t>
  </si>
  <si>
    <t>ДРУК</t>
  </si>
  <si>
    <t>заняли 6 - е место в тендере</t>
  </si>
  <si>
    <t>тендер-профанация</t>
  </si>
  <si>
    <t>Водные Решения</t>
  </si>
  <si>
    <t>Автономные канализациии и септики/системы водоотведения. можно предложить SEO, контексно-поисковую рекламу, так как их Гугл и яндекс не выдает на первых трех страницах</t>
  </si>
  <si>
    <t>общения не было, есть холодный контакт, который надо проверить</t>
  </si>
  <si>
    <t>отработать холодный лид, пробовал связаться с руководителем отдела маркетинга, не отвечает</t>
  </si>
  <si>
    <t>География Владивосток и Хабаровск. Реклама в диджитал/рассылки агрессивные личные продажи: через звонки, расчеты и т.д. При этом в прямом поиске Гугла и Яндекса не находятся по названию, есть над чем работать</t>
  </si>
  <si>
    <t>от А.В.</t>
  </si>
  <si>
    <t xml:space="preserve">Получен контакт:   Руководитель отдела маркетинга Эмиль +7 951 413 4957 Хабаровск  https://lsoseptik.ru/haparovsk  </t>
  </si>
  <si>
    <t>Мой Бизнес</t>
  </si>
  <si>
    <t>КП по исследованиям в Китае</t>
  </si>
  <si>
    <t>КП отправлено 13.02.2026</t>
  </si>
  <si>
    <t>утепляем контакт с заказчиком</t>
  </si>
  <si>
    <t>Клеменчук/Потапенко</t>
  </si>
  <si>
    <t>подготовлено КП, отправлено 17.02</t>
  </si>
  <si>
    <t>Мебель град</t>
  </si>
  <si>
    <t>март</t>
  </si>
  <si>
    <t>узнать актуальную картину у Кирилла, чтобы принять решение</t>
  </si>
  <si>
    <t>Взять контакты у Риты Свитто,есть размещение НР в КМС</t>
  </si>
  <si>
    <t>Азбука мебели</t>
  </si>
  <si>
    <t>Презентовать группу компаний/восстановитьобщение с клиентом</t>
  </si>
  <si>
    <t>Ирина ищет контакт коммерческого</t>
  </si>
  <si>
    <t>По инсайдерской информации, практически полностью сократили отдел маккетинга,многие направления работы передаются на аутсорс. Рита работает с Мебель Градом. Контакт: yk_market6@primmebel.ru</t>
  </si>
  <si>
    <t>Тименчук/Ярич</t>
  </si>
  <si>
    <t>план  встречи нак март</t>
  </si>
  <si>
    <t>Атлант Девелопмент</t>
  </si>
  <si>
    <t>Разработка стандартов навигации коммерческой недвижимости в ЖК Гринвуд</t>
  </si>
  <si>
    <t>февраль-март</t>
  </si>
  <si>
    <t>Занесла презентацию в распечатанном виде к ним в офис 6.02, вкратце презентовала данный продукт. Готовим КП по дорожному знаку. Сегодня 16.03 планирую отправить фотомонтажи дорожных указателей.По готовности отправлю клиенту и вдогонку напишу письмо о встрече. Клиент отказался от сотрудничества.</t>
  </si>
  <si>
    <t>При личной встрече отреагировали положительно, несмотря на то, что я явилась без приглашения. заинтересовались. Сказали, что также их интересует установка и согласование рекламных конструкций на фасадах в их ЖК. Сейчас общаемся в ТГ, им нужен дорожный указатель. По встрече пока молчат. Надеюсь вывести их на нее по готовности КП от нас.</t>
  </si>
  <si>
    <t>холодный контакт Якименко</t>
  </si>
  <si>
    <t>Поймала на мероприятии Руссов их отдел маркетинга, коротко описала, что мы можем им дать, обменялись контактами с руководителем, жду от них дату встречи. Сейчас находимся в диалоге по установке дорожного знака</t>
  </si>
  <si>
    <t>ЖК Исторический</t>
  </si>
  <si>
    <t>Разработка стандартов навигации коммерческой недвижимости в ЖК Исторический</t>
  </si>
  <si>
    <t>отработан лид</t>
  </si>
  <si>
    <t>Созвонилась с целевым контактом 03.02.26, она сказала, что они еще не дошли до этого, нет понимания, куда определить вывески. Как дойдет до этого, свяжется с АВ.</t>
  </si>
  <si>
    <t>Андрей Валерьевич</t>
  </si>
  <si>
    <t>Ранее была проведена встреча, отправлено КП (в прошлом году). Затем они пропали, Бунтуш А.В. вышел на другой контакт, они проявили интерес, но о.с. пока дать не могут</t>
  </si>
  <si>
    <t>Rodina Residens/VGH</t>
  </si>
  <si>
    <t>Размещение в мультимедийной системе аэрофлот, таргетированная SMS-рассылка</t>
  </si>
  <si>
    <t>Встреча состоялась, отрабатываю запрос + утепляем контакт</t>
  </si>
  <si>
    <t>Предложила встретиться и обсудить будущее возможности для сотрудничества, предварительно договорились на 24-28.03</t>
  </si>
  <si>
    <t>Наш текущий целевой клиент</t>
  </si>
  <si>
    <t>25.02 в 15.00 состоялась встреча, обсудили текущие дела. Конрактуемся по таргетированной SMS-рассылке пока.</t>
  </si>
  <si>
    <t>Эксполес</t>
  </si>
  <si>
    <t>Презентация группы компаний новому руководителю маркетинга</t>
  </si>
  <si>
    <t>Встреча на их территории 13.03 в 12.00</t>
  </si>
  <si>
    <t>БОЛТ готовит аудит SMM, с нашей стороны задача - отправить презентации и ссылку на сайт + придумать концепт оформления баннерами. Также у них есть потребность в организации мероприятий, будем подключаться.</t>
  </si>
  <si>
    <t>Наш текущий нецелевой клиент</t>
  </si>
  <si>
    <t>Встреча состоялась 12.03. Готовим КП по запросу.</t>
  </si>
  <si>
    <t>Штыковские двери</t>
  </si>
  <si>
    <t>Размещение рекламы в недавно сданных ЖК</t>
  </si>
  <si>
    <t>Две встречи состоялись, котрактуемся, сегодня я должна отправить клиенту итоговую информацию по 4 ЖК + прорабатываем еще объекты и предложения. Обещали скинуть наши КП по SMM.</t>
  </si>
  <si>
    <t>Возможно, получится убить двух зайцев: получить контракт с клиентом на массовое размещение информации о них в ЖК + познакомиться с управляющимик омпаниями и в параллели продавать им другие наши услуги (навигация МОП, коммерческая)</t>
  </si>
  <si>
    <t>Наш утерянный клиент, вышел сам с запросом</t>
  </si>
  <si>
    <t>Контрактуемся + в разработке еще проекты</t>
  </si>
  <si>
    <t>Замена вывесок с учетом нового закона о русскоязычном написании наименований на всех вывесках</t>
  </si>
  <si>
    <t>Написала контакту, с которым вела коммуникацию по хайнаньскому проекту, но ответа не получила никакого.
24.02 написала Анне Шаповаловой (директору по маркетингу) предложение встретиться, поздравить с наступающим праздником, просто пообщаться о том, что сейчас происходит.
Сегодня 16.03 планирую написать им по Хайнаню.</t>
  </si>
  <si>
    <t>Вика обсудит с Любой вопрос окончания проекта Hainan в 2025 году, нужно сообщить, что в 2026 году будет размещаться путеводитель на 9 рейсах. На встрече с Токио можно также обсудить китайское направление (китайские соцсети). Нужно проработать предложение по оффлайн предложению.
Сейчас клиент не выходит на связь, игнорируя мои звонки, письма в почту и сообщения в ТГ.
Татьяна - +79143432807.
Анна Шаповалова +79143350850</t>
  </si>
  <si>
    <t>Утерянный клиент</t>
  </si>
  <si>
    <t>Попытки достучаться, пока бесплодные</t>
  </si>
  <si>
    <r>
      <rPr>
        <rFont val="Arial"/>
        <color theme="1"/>
        <sz val="12.0"/>
      </rPr>
      <t xml:space="preserve">Написала вводные о новом законе и задала вопрос, планируют ли замену вывесок, пока игнор. </t>
    </r>
    <r>
      <rPr>
        <rFont val="Arial"/>
        <color rgb="FFFF0000"/>
        <sz val="12.0"/>
      </rPr>
      <t>Если у них ТМ зарегистрирована, то им не надо ничего менять</t>
    </r>
  </si>
  <si>
    <t>Очень давно работали с ДНС Ритейл довольно активно, в конце прошлого года менеджер, с которым мы когда-то и работали всплыл в чате маркетологов. Я пообщалась с ним, скинула КП по сувенирке, он не оветил. И в этот раз я спросила, есть ли нужда в замене вывесок, напомнила, что когда-то мы активно сотрудничали в части производства.</t>
  </si>
  <si>
    <t>Написала Дмитрию Горохову, +79020777336</t>
  </si>
  <si>
    <t>ЖК Днепровский (ООО СЗ ТЕМЕЛ)</t>
  </si>
  <si>
    <t>Разработка стандартов навигации коммерческой недвижимости в ЖК Днепровский</t>
  </si>
  <si>
    <t>Позвонила 09.02.2026, трубку взял крайне неконтактный человек. Выслушал мое предложение. Сказал, что коммерческие помещения под аренду есть, но потребности в наших услугах нет, никакого пояснения не дал</t>
  </si>
  <si>
    <t>Человек даже не представился, непонятно, с кем я вела беседу, но других контактов нет.</t>
  </si>
  <si>
    <t>Из списка застройщиков, составленного мной для продаж</t>
  </si>
  <si>
    <t>Холодный звонок с озвучкой предложения</t>
  </si>
  <si>
    <t>КП Китай</t>
  </si>
  <si>
    <t>направил приветственное письмо, ответила начальник отдела маркетинга, в ответ выслал КП Китай-аналог КП Планете здоровья, пришел ответ, что со мной свяжется сотрудник смежного подразделения Соколова Александра, что готовы обсудить сотрудничество</t>
  </si>
  <si>
    <t>ждем ОС</t>
  </si>
  <si>
    <t>холодный контакт</t>
  </si>
  <si>
    <t>отправлено КП 16.02.2026, жду ОС</t>
  </si>
  <si>
    <t>Парки Владивостока</t>
  </si>
  <si>
    <t xml:space="preserve">КП креативная концепция открытия первой очереди аттракционов парка "Минный городок" </t>
  </si>
  <si>
    <t>готовим КП, дедлайн по отправке - 18.02.2026</t>
  </si>
  <si>
    <t>из чата маркетологов</t>
  </si>
  <si>
    <t xml:space="preserve">отправлено КП 19.02.2026, жду ОС </t>
  </si>
  <si>
    <t>выдали КП клиенту 16.02.2026, ждем ОС</t>
  </si>
  <si>
    <t>сами прислали запрос на цены по китайскому SMM</t>
  </si>
  <si>
    <t>Несина контактирует</t>
  </si>
  <si>
    <t>ВМТП/ФЕСКО</t>
  </si>
  <si>
    <t>PR-сопровождение ВМТП/ФЕСКО, продвижение собственных соц.сетей</t>
  </si>
  <si>
    <t xml:space="preserve">встреча 25.02: готовим ТЗ/годовое предложение на бюджет 1,5-2 млн.руб (Ньюсвл.ру + посевы + блогеры) </t>
  </si>
  <si>
    <t>после согласовани ТЗ - передадут бюджет в закупки</t>
  </si>
  <si>
    <t>годовой запрос</t>
  </si>
  <si>
    <t>готовим КП к 04.03</t>
  </si>
  <si>
    <t>Авачинское</t>
  </si>
  <si>
    <t>брендинговый проект</t>
  </si>
  <si>
    <t>корректируем старое КП, чтобы выиграть конкурс</t>
  </si>
  <si>
    <t>входящий Сонин</t>
  </si>
  <si>
    <t>Ярич, Тедеев</t>
  </si>
  <si>
    <t>отправлено КП, повторный созвон 26.02.</t>
  </si>
  <si>
    <t>Запрос на рахработку РК (креатив-дизай, МПлан продвижения)</t>
  </si>
  <si>
    <t>02.03 готовим итог встречи, выходи на конраткацию по задаче и штурмовку</t>
  </si>
  <si>
    <t>работали когда-то давно по креативным задачам, потом креативили инхауз. Выдохлись, "не хватает рук"</t>
  </si>
  <si>
    <t>входящий Тименчук</t>
  </si>
  <si>
    <t>MX Group</t>
  </si>
  <si>
    <t>оптовая торговля автозапчастями</t>
  </si>
  <si>
    <t>готовим стоимость накрутки отзывов, подготовили КП</t>
  </si>
  <si>
    <t>входящий на почту</t>
  </si>
  <si>
    <t>проведен созвон с маркетологом и подготовлено и отправлено КП</t>
  </si>
  <si>
    <t>Ростелеком</t>
  </si>
  <si>
    <t>производство, мероприятия, PR, HR</t>
  </si>
  <si>
    <t>отправила КП</t>
  </si>
  <si>
    <t>Подруга работает в Ростелекоме маркетологом, но только по направлению наружки. Отправила наши презентации по ответственным подразделениям</t>
  </si>
  <si>
    <t>утерянный клиент</t>
  </si>
  <si>
    <t>Отправлены КП</t>
  </si>
  <si>
    <t>Вжух и магия</t>
  </si>
  <si>
    <t>PR, HR, промо</t>
  </si>
  <si>
    <t>Вика Ж. написала туда 04.03, суд пов сему направление доставки пиццы толкьо открывается, и им сейчас не до чего. Они базово набрали штат SMM.</t>
  </si>
  <si>
    <t>Возник вопрос, есть ли смысл им что-то предлагать, учитывая прижимистость клиента.
Вернусь с попыткой выхода на них 15.04, после моего отпуска</t>
  </si>
  <si>
    <t>Якименко/Жидких</t>
  </si>
  <si>
    <t>Обсудить на встрече 10.03. Возможно это в большей степени клиент для БОЛТа. Если вообще целесообразно его пытаться возродить.</t>
  </si>
  <si>
    <t>Rail Trust</t>
  </si>
  <si>
    <t>сувенирка, креатив, брендирвоание авто</t>
  </si>
  <si>
    <t>Написала на почту для предложений о сотрудничестве, предложила встретиться. Позвонила, сказали, что маркетолога нет у них, и сейчас они не нуждаются ни в чем.</t>
  </si>
  <si>
    <t>По ним отбой пока</t>
  </si>
  <si>
    <t>Первое письмо с предложением о встрече Звонок в офис.</t>
  </si>
  <si>
    <t>Креатив, медиаподдержка</t>
  </si>
  <si>
    <t>март-апрель</t>
  </si>
  <si>
    <t>Поиск контактов и точек входа состоялся. По итогам общения с Гончарук выяснила, что из-за текущих клиентов сделать миграцию на биллинг мегафона это очень дорого + риск оттока базы. Поэтому просто по дефолту бренд теперь существует без выделений бюджетов на маркетинг. Перспектив 0.</t>
  </si>
  <si>
    <t>В открытом доступе контактов нет. Написала на общую почту. Написала Вике Гончарук.</t>
  </si>
  <si>
    <t>Приморский Кондитер/ГРИНАГРО</t>
  </si>
  <si>
    <t>Помощь в раскрутке HR направления, по необходимости. Предстоит выяснить.</t>
  </si>
  <si>
    <t>Договорились на встречу с начальником HR на период 16-23.03</t>
  </si>
  <si>
    <t xml:space="preserve">нецелевой клиент </t>
  </si>
  <si>
    <t>Договорились о встрече, поставила задачу подготовить презу с кейсами по продвижению HR бренда</t>
  </si>
  <si>
    <t>Гринхилс</t>
  </si>
  <si>
    <t>навигация коммерческой недвижимости</t>
  </si>
  <si>
    <t>Состоялся телефонный разговор. Сказали, что потребность есть, но надо перезвонить позже.</t>
  </si>
  <si>
    <t>Пока нет арендаторов, но планируюится</t>
  </si>
  <si>
    <t>Якименко (конкретно по этому направлению)</t>
  </si>
  <si>
    <t>Отправлено КП, выявлена потребность</t>
  </si>
  <si>
    <t>ИТОГО ЗА ФЕВРАЛЬ:</t>
  </si>
  <si>
    <t>Цели в феврале не ставились, пока просто фиксируем факт, на март и далее будем ежемесячно ставить цели по каждому действию и внедрять систему мотивации по нефинансовым показателям работы менеджеров</t>
  </si>
  <si>
    <t>факт-февраль</t>
  </si>
  <si>
    <t>ТЕДЕЕВ</t>
  </si>
  <si>
    <t>МАТЛАК</t>
  </si>
  <si>
    <t>ЯКИМЕНКО</t>
  </si>
  <si>
    <t>КЛЕМЕНЧУК</t>
  </si>
  <si>
    <t>ГОЛУБЕВА</t>
  </si>
  <si>
    <t>выдано КП</t>
  </si>
  <si>
    <r>
      <rPr>
        <rFont val="Arial"/>
        <color theme="1"/>
        <sz val="12.0"/>
      </rPr>
      <t xml:space="preserve">TFL/отель, ТИЦ ХБР, Планета Здоровья, KISS FLOWERS, Мой Бизнес/исследования КНР, Атлант Девелопмент, RRV/VGH, Ростелеком - </t>
    </r>
    <r>
      <rPr>
        <rFont val="Arial"/>
        <b/>
        <color theme="1"/>
        <sz val="12.0"/>
      </rPr>
      <t>всего: 8</t>
    </r>
  </si>
  <si>
    <t>ПРОВЕДЕННЫЕ ВСТРЕЧИ</t>
  </si>
  <si>
    <t>Встречи с целевыми клиентами:</t>
  </si>
  <si>
    <r>
      <rPr>
        <rFont val="Arial"/>
        <color theme="1"/>
        <sz val="12.0"/>
      </rPr>
      <t xml:space="preserve">Пятерочка, RRV/VGH- </t>
    </r>
    <r>
      <rPr>
        <rFont val="Arial"/>
        <b/>
        <color theme="1"/>
        <sz val="12.0"/>
      </rPr>
      <t>всего: 2</t>
    </r>
  </si>
  <si>
    <t>ОЖИДАНИЕ ВСТРЕЧИ</t>
  </si>
  <si>
    <t>Встречи с нецелевыми клиентами:</t>
  </si>
  <si>
    <r>
      <rPr>
        <rFont val="Arial"/>
        <color theme="1"/>
        <sz val="12.0"/>
      </rPr>
      <t xml:space="preserve">Т2, Штыковские двери, Миринэ, ВМТП - </t>
    </r>
    <r>
      <rPr>
        <rFont val="Arial"/>
        <b/>
        <color theme="1"/>
        <sz val="12.0"/>
      </rPr>
      <t>всего: 4</t>
    </r>
  </si>
  <si>
    <t>КП</t>
  </si>
  <si>
    <t>Встречи с новыми клиентами:</t>
  </si>
  <si>
    <r>
      <rPr>
        <rFont val="Arial"/>
        <color theme="1"/>
        <sz val="12.0"/>
      </rPr>
      <t xml:space="preserve">Джей Ти, TFL/отель, Калина Молл   - </t>
    </r>
    <r>
      <rPr>
        <rFont val="Arial"/>
        <b/>
        <color theme="1"/>
        <sz val="12.0"/>
      </rPr>
      <t>всего:3</t>
    </r>
  </si>
  <si>
    <t>ТЕНДЕРЫ</t>
  </si>
  <si>
    <t>Участие в тендерах:</t>
  </si>
  <si>
    <r>
      <rPr>
        <rFont val="Arial"/>
        <color theme="1"/>
        <sz val="12.0"/>
      </rPr>
      <t>Мой бизнес/выставка Ченду, Ростелеком, ДГК, Красное/Белое, Лента, ДРУК, Сбербанк мероприятия (подготовка КП для тендера совместно с Хабаровским офисом), КНОТОК - 2 -</t>
    </r>
    <r>
      <rPr>
        <rFont val="Arial"/>
        <b/>
        <color theme="1"/>
        <sz val="12.0"/>
      </rPr>
      <t xml:space="preserve"> всего:9</t>
    </r>
  </si>
  <si>
    <t>Отработано холодных лидов</t>
  </si>
  <si>
    <t>План встреч на МАРТ</t>
  </si>
  <si>
    <t>ЖИДКИХ</t>
  </si>
  <si>
    <t>ПОТАПЕНКО</t>
  </si>
  <si>
    <t>ТИМЕНЧУК</t>
  </si>
  <si>
    <t>ТЕДЕЕВ/ЯРИЧ-10</t>
  </si>
  <si>
    <t>МАТЛАК - 2</t>
  </si>
  <si>
    <t>ЯКИМЕНКО-10</t>
  </si>
  <si>
    <t>КЛЕМЕНЧУК-5</t>
  </si>
  <si>
    <t xml:space="preserve">ГОЛУБЕВА - 2 </t>
  </si>
  <si>
    <t>расылка КП по отелям - 20</t>
  </si>
  <si>
    <t>РЕМИ (встреча с Шатыро) - на апрель</t>
  </si>
  <si>
    <t>Ратимир/с участитем Матлак и Ярич</t>
  </si>
  <si>
    <t>Ратимир/с участитем Матлак и Тименчук</t>
  </si>
  <si>
    <t>Ратимир/ с участием Ярич/Тименчук - ищем контакты</t>
  </si>
  <si>
    <t>Эксполес+</t>
  </si>
  <si>
    <t>ВМТП - отправка КП</t>
  </si>
  <si>
    <t>Родимая Сторонка/ с участием Ярич</t>
  </si>
  <si>
    <t>выборка из потерянных и нецелевых клиентов ГКС 2020-2024 гг</t>
  </si>
  <si>
    <t>Стоматология Мастер  - пока не готовы</t>
  </si>
  <si>
    <t>Консолидатор ДВ - КП на сайт и фирменный стиль, SMM</t>
  </si>
  <si>
    <t>Гемотест - втреча в офисе/подготовка с Гридневой</t>
  </si>
  <si>
    <t>Штыковские Двери+</t>
  </si>
  <si>
    <t>Подряд/ с участием Тименчук</t>
  </si>
  <si>
    <t>Пятерочка - 11/03</t>
  </si>
  <si>
    <t>НИКО&amp;Кристал - ОС по стратегии</t>
  </si>
  <si>
    <t>Эдельвейс - организовать совместную встречу с Викой Якименко</t>
  </si>
  <si>
    <t>KFC - апрель, не понимаем повестку</t>
  </si>
  <si>
    <t>Атлант-Девелопмент/Гринвуд+</t>
  </si>
  <si>
    <t>ПИК</t>
  </si>
  <si>
    <t>Азбука Мебели</t>
  </si>
  <si>
    <t>Токио с участием Якименко</t>
  </si>
  <si>
    <t>DNS City - апрель, не понимаем структуру департамента и их потребности</t>
  </si>
  <si>
    <t>Токио с участием Тедеева</t>
  </si>
  <si>
    <t>Сахалинская Энергия</t>
  </si>
  <si>
    <t>Иль де Боте (местный директор магазина) - не готовы</t>
  </si>
  <si>
    <t>Мебельград</t>
  </si>
  <si>
    <t>Твоя Аптека - ждем ОС по SMM российскому</t>
  </si>
  <si>
    <t>ЖК Гринхилс - с участием Болта/Вани</t>
  </si>
  <si>
    <t>ФСК-Регион+</t>
  </si>
  <si>
    <t>Водник</t>
  </si>
  <si>
    <t>Коковихин Константин</t>
  </si>
  <si>
    <t>Авачинское - корректировка КП</t>
  </si>
  <si>
    <t>Твоя Аптека/Аптека 25</t>
  </si>
  <si>
    <t>Ортодент/Русакова</t>
  </si>
  <si>
    <t>Токио - Ницора</t>
  </si>
  <si>
    <t>Элефант</t>
  </si>
  <si>
    <t>Pizza La Renzo - близки к закрытию</t>
  </si>
  <si>
    <t>Вжух и магия - ждем месяц и повторяем заход</t>
  </si>
  <si>
    <t>Полиметал</t>
  </si>
  <si>
    <t>Космос/Новотель - отправка КП для отелей и предложение встречи - это франшиза, а не реальная УК Космоса</t>
  </si>
  <si>
    <t>Надежда 95</t>
  </si>
  <si>
    <t>Ред Элефант</t>
  </si>
  <si>
    <t>Эскадра</t>
  </si>
  <si>
    <t>Совкомфлот</t>
  </si>
  <si>
    <t>Планета Здоровья с участием Якименко</t>
  </si>
  <si>
    <t>Yota - брэнд существует лишь номинально</t>
  </si>
  <si>
    <t>СЗ СК 2 - отказали мне, сказали, что все сами делают</t>
  </si>
  <si>
    <t>Дамплинг Репаблик - написать Ивану</t>
  </si>
  <si>
    <t>Транзит</t>
  </si>
  <si>
    <t>Приморский кондитер/Гринагро - планируется встреча с HR</t>
  </si>
  <si>
    <t>Санас</t>
  </si>
  <si>
    <r>
      <rPr>
        <rFont val="Arial"/>
        <color rgb="FF0000FF"/>
        <sz val="12.0"/>
      </rPr>
      <t xml:space="preserve">Ренесанс-Атив - может попробуем их? </t>
    </r>
    <r>
      <rPr>
        <rFont val="Arial"/>
        <color rgb="FFFF0000"/>
        <sz val="12.0"/>
      </rPr>
      <t xml:space="preserve">Да, надо выходить на них, но у нас две темы - надо сразу по двум темам хазодить: навигация (Бунтуш/Якименко) и путеводитель </t>
    </r>
  </si>
  <si>
    <t>Ренесанс-Актив. Давайте кооперироваться с Иваном, чтобы одновременно с двумя темами зайти в их отдел маркетинга (навигация+путеводитель, а может и SMM)</t>
  </si>
  <si>
    <t>Рассылка КП по отелям - 10</t>
  </si>
  <si>
    <t>ПОДРЯД</t>
  </si>
  <si>
    <t>ДВ Регион / БОЛТ</t>
  </si>
  <si>
    <t>концепция РК, PR поддержка акции</t>
  </si>
  <si>
    <t>конец февраля</t>
  </si>
  <si>
    <t>креативный проект подтверждён</t>
  </si>
  <si>
    <t>запрос клиента в ответ на презентации, отправленные в апреле 2022 года</t>
  </si>
  <si>
    <t>Клеменчук/Тименчук</t>
  </si>
  <si>
    <t xml:space="preserve">Подтверждён проект
на разработку концепции
рекламной кампании </t>
  </si>
  <si>
    <t>ФСК РЕГИОН</t>
  </si>
  <si>
    <t>ДВ Регион / RUSAPAI</t>
  </si>
  <si>
    <t>проект нестандартной конструкции на ЖК Философия
Исследование по китайским покупателям недвижки в Благовещенске.</t>
  </si>
  <si>
    <r>
      <rPr>
        <rFont val="Arial"/>
        <color theme="1"/>
        <sz val="12.0"/>
      </rPr>
      <t xml:space="preserve">отправили экскизное предложение 12.03, ждем ОС, </t>
    </r>
    <r>
      <rPr>
        <rFont val="Arial"/>
        <color rgb="FFFF0000"/>
        <sz val="12.0"/>
      </rPr>
      <t xml:space="preserve">вторая ветка - готовим ТЗ по исследованию на 500 тысяч. </t>
    </r>
    <r>
      <rPr>
        <rFont val="Arial"/>
        <color theme="1"/>
        <sz val="12.0"/>
      </rPr>
      <t>20.03 - был созвон с Якименко, была направлена смета. Готовим проект + нужно ответить на вопросы, аккредитацию прошла, + отправили 2 КП от других органихзаций.</t>
    </r>
  </si>
  <si>
    <t>фасад планируется к установке в мае-июне, спрашивается, зачем делать конструкцию за 1 млн на 1-2 месяца??? У клиента тоже с одной стороны стоит такой вопрос, а сдругой стоит задача - поставить конструкцию как можно быстрее + она должна еще поработать и на ВЭФ
Войнова вышла с запросом на исследование китайского покупателя в Благовещенске.</t>
  </si>
  <si>
    <t>эскизное предложение, созвон, есть смета
Направлено первое КП по исследованию в Благовещенске, ждем ОС</t>
  </si>
  <si>
    <t>декабрь-февраль</t>
  </si>
  <si>
    <r>
      <rPr>
        <rFont val="Arial"/>
        <color rgb="FF000000"/>
        <sz val="12.0"/>
      </rPr>
      <t>Назначить встречу в марте.</t>
    </r>
    <r>
      <rPr>
        <rFont val="Arial"/>
        <color rgb="FFFF0000"/>
        <sz val="12.0"/>
      </rPr>
      <t xml:space="preserve"> Была встреча или нет? Обновить статус</t>
    </r>
  </si>
  <si>
    <t>Задача - организация встречи для презентации видения сотрудничества</t>
  </si>
  <si>
    <t>Новый клиент обратился самостоятельно</t>
  </si>
  <si>
    <t>Контакты вела Ионина, переводим на Тименчук</t>
  </si>
  <si>
    <t xml:space="preserve">Отправлены презентации по PR, подготовлена аналитика по ценам ГЛК на ДВ </t>
  </si>
  <si>
    <r>
      <rPr>
        <rFont val="Arial"/>
        <color theme="1"/>
        <sz val="12.0"/>
      </rPr>
      <t xml:space="preserve">Назначить встречу после 22.03  </t>
    </r>
    <r>
      <rPr>
        <rFont val="Arial"/>
        <color theme="1"/>
        <sz val="12.0"/>
      </rPr>
      <t>Встречи не было, перенос на апрель</t>
    </r>
  </si>
  <si>
    <t>Задача - проведение встречи для восстановления отношений по Болту и расширения сострудничества с ДВ Регионом, требуется подготовка</t>
  </si>
  <si>
    <t>целевой клиент ДВ Региона, потерянный клиент Болта</t>
  </si>
  <si>
    <t>Матлак/Тименчук/Ярич</t>
  </si>
  <si>
    <t>КП-видение по кобрендинговой карте 5+ Альфа</t>
  </si>
  <si>
    <t>Направлены новые предложения по продвижению апельсиновой карты, ожидаем ОС. Направлены АП по городам HR</t>
  </si>
  <si>
    <t>Ожидаем ответ по новым предложением, Ира держит коммуникацию с Ольгой</t>
  </si>
  <si>
    <t>состоялась защита нашего предложения</t>
  </si>
  <si>
    <t>Подготовить АП для летнего периода, провести повторно встречу с Ярич, дату встречи клиент еще не подтвердил</t>
  </si>
  <si>
    <t>Заинтересовали их блогеры, городские мероприятия и открытие мин городка. С мин городком у нас была встреча, должны направить через три недели предложения для рекламы</t>
  </si>
  <si>
    <t>Голубева/Ярич/Тименчук</t>
  </si>
  <si>
    <t>направлены АП по городам клиенту, частично получила от них ответ</t>
  </si>
  <si>
    <t xml:space="preserve">RUSAPAI </t>
  </si>
  <si>
    <t>конференц-колл по китайской программе и диагностике потребностей по услугам ДВ Региона</t>
  </si>
  <si>
    <r>
      <rPr>
        <rFont val="Arial"/>
        <color theme="1"/>
        <sz val="12.0"/>
      </rPr>
      <t xml:space="preserve">назначить конференц-колл с Пермью в марте. </t>
    </r>
    <r>
      <rPr>
        <rFont val="Arial"/>
        <color rgb="FFFF0000"/>
        <sz val="12.0"/>
      </rPr>
      <t>Не получается</t>
    </r>
  </si>
  <si>
    <t>ждем ОС от ГО по КП Сяохуншу, хотим конфернец-колл для диагостики болей</t>
  </si>
  <si>
    <t>холодный контакт Тедеев</t>
  </si>
  <si>
    <t>Тедеев/Якименко</t>
  </si>
  <si>
    <t>отправили КП по Сяохуншу 12.02.2025</t>
  </si>
  <si>
    <t>ДВ Регион / RUSAPAI / БОЛТ</t>
  </si>
  <si>
    <t>Клиент/Шаповалова не хочет с нами встречаться, прямо об этом говорят, что нет интереса ОС по путеводителю негативная, повторять не будут.</t>
  </si>
  <si>
    <t>Сохраняются возможности: тема китайского SMM и надо думать, что еще может быть</t>
  </si>
  <si>
    <t>Потерянный клиент ДВ Региона, в 2025 году было размещение в путеводителе RUSAPAI</t>
  </si>
  <si>
    <t>письмо Шаповаловой 24.02 с предожением встречи. Удалось связаться - клиент не заинтересован в общении.</t>
  </si>
  <si>
    <t>пока неясно</t>
  </si>
  <si>
    <t>Гридневой сделать экспресс-аудит до 12.03, провести внутреннюю встречу по тактике выхода на директора по маркетингу до 20.03</t>
  </si>
  <si>
    <t>Трушкин Андрей Сергеевич, +7914333-04-55</t>
  </si>
  <si>
    <t>информация Несиной о смене всего маркетинга в компаниии</t>
  </si>
  <si>
    <t>Тименчук/Потапенко/Ярич</t>
  </si>
  <si>
    <t>Ира нашла контакт</t>
  </si>
  <si>
    <t>КП SMM</t>
  </si>
  <si>
    <t>таргет продвигаем дальше, SMM подписываемся на 3 месяца</t>
  </si>
  <si>
    <t>имеем ввиду, что в следующем шаге есть задача зайти по навигации в ЖК с Якименко</t>
  </si>
  <si>
    <t>текущий клиент БОЛТа</t>
  </si>
  <si>
    <t>контракт нав контекст до марта, выслано КП на SMM, подписываемся на контракт на 3 месяца</t>
  </si>
  <si>
    <t>Проведена встреча БОЛТом, получен пул задач для совместной работы агентств, 18.03 внутренняя встреча по распределению задач. 23.03 отправили БОЛТу нашу часть, ждем О. С. от клиента</t>
  </si>
  <si>
    <t>Проведена встреча, дана обратная связь клиенту, что мы готовы взять на себя</t>
  </si>
  <si>
    <t>навигация ЖК Гринвуд, проект РК</t>
  </si>
  <si>
    <t>назначить встречу в марте. Прислала им фотомонтажи и стоимость установки дорожных указателей, которые они очень хотели. 24.03 созвонилась, они внезапно сказали, что им уже ничего не надо.</t>
  </si>
  <si>
    <t>Почему-то потеряли интерес к нам</t>
  </si>
  <si>
    <t>проведлена первая встреча, высланы презентации, отправлено КП по дорожным указателям.</t>
  </si>
  <si>
    <t>30.03 в 11.00 встреча на их территории (Якименко, Зиновьева, дизайнер интерьеров) по срочной задаче - оформлению шоу-рума. БОЛТ готовит аудит SMM (дедлайн - 31.03), отправила презентации и ссылку на сайт +  форму ТЗ для разработки концепта оформления баннерами. Также у них есть потребность в организации мероприятий, будем подключаться при необходимости.</t>
  </si>
  <si>
    <t>27.03 поступила срочная задача от клиента - оформить шоу-рум во Владивостоке. Т.к. задача частично наша, частично для дизайнеров-интерьерщиков, сразу привлекла человека с такой квалификацией, договорились о совместной работе по проекту.</t>
  </si>
  <si>
    <t>Нецелевой клиент ДВ Региона, потерянный клиент Болта</t>
  </si>
  <si>
    <t>Якименко/Тименчук/Ярич</t>
  </si>
  <si>
    <t>Проведена встреча-знакомство, выявлены потребности, готовим первые КП, назанчена еще одна встреча.</t>
  </si>
  <si>
    <t>Контрактуемся по размещению в ЖК. Жду от управляющей компании данные для заключения договора. От клиента - подписание договора и макеты.</t>
  </si>
  <si>
    <t>Сформировано КП по размещению в  ЖК (можно предлагать другим клиентам), проведены все переговоры</t>
  </si>
  <si>
    <t>РЕМИ</t>
  </si>
  <si>
    <t>диагностика</t>
  </si>
  <si>
    <t>договоренность с Шатыро о встрече в начале апреля</t>
  </si>
  <si>
    <t>Бунтушу получить ОС от Васькова на федеральном уровне</t>
  </si>
  <si>
    <t>нецелевой клиент Матлак</t>
  </si>
  <si>
    <t>China-friendly</t>
  </si>
  <si>
    <t>ждем дату созвона/ встречи</t>
  </si>
  <si>
    <t>начальник отдела маркетинга подтвердила интерес к китайскому направлению, назначила ответственного за коммуникацию с нами, ждем дату созвона/ встречи</t>
  </si>
  <si>
    <t>отправлено КП, ждем созвон/ встречу</t>
  </si>
  <si>
    <t>Ironfor</t>
  </si>
  <si>
    <t>КП SEO, продакшн</t>
  </si>
  <si>
    <t>ждем ОС после обсуждения предложения клиентом коллективом</t>
  </si>
  <si>
    <t xml:space="preserve">компания продает инновационную пескоструйную установку и её обслуживание, мы предлагаем SEO-оптимизацию и продакшн видео </t>
  </si>
  <si>
    <t>отправлено КП, ждем ОС</t>
  </si>
  <si>
    <t>не было</t>
  </si>
  <si>
    <t>дожать лид, получить ОС, попросить хабаровский филиал проверить клиента</t>
  </si>
  <si>
    <t xml:space="preserve">от Бунтуша </t>
  </si>
  <si>
    <t>попытка дозвона</t>
  </si>
  <si>
    <t>Tigre de Crystal</t>
  </si>
  <si>
    <t>КП Сяохуншу, Доуинь, блогтур</t>
  </si>
  <si>
    <t>думаем, что предложить клиенту помимо путеводителя. (Размещение в Макао?)</t>
  </si>
  <si>
    <t>заинтересованы в ведении китайских соцсетей и блогерских интеграциях, запросить возможности у китайских партнеров по Макао</t>
  </si>
  <si>
    <t>Иль Де Ботэ</t>
  </si>
  <si>
    <t>китайскую программу, путеводитель</t>
  </si>
  <si>
    <t>Встретился 17.03 с местным директором магазина Людмилой Каплан, она давно в этой сфере, прекрасно помнит китайские покупки косметики до пандемии.Встреча прошла позитивно, но безрезультатно. Местный менеджмент демотивирован политикой московского офиса (ассортимент, ценовая политика, маркетинг). Китайского потока сравнимого с допандемийным уровнем не видят, точнее поток есть, но покупают мало и с низким чеком, так как цены на мировые бренды не очень конкурентноспособные по сравнению с китайскими в Sefora и в онлайне, по их мнению.Про московский офис в целом и про их маркетинговый департамент отзываются плохо, говорят, что очень вялые, что сильно похоже на правду, с которой мы столкнулись воочию. Видят проблему в целом в некомпетентном верхнем руководстве компании после ухода французов с началом СВО. Считают, что их ничто уже не спасет под набором маркетплейсов и онлайн-продаж Зеленого Яблока😊 На московский офис из Владивостока они влиять не смогут и сами не верят в то, что реклама на самостоятельных китайцев способна что-то изменить, то есть полный скепсис насчет продаж китайцам по объективным причинам.</t>
  </si>
  <si>
    <t>проведена встреча с местным руководителем, можно отправить КП по путеводителю в москву в качестве напоминания о RUSAPAI</t>
  </si>
  <si>
    <t>B2B коммуникации в Китае</t>
  </si>
  <si>
    <t>16.03 проведена встреча-брифинг с Овчинниковой, 25.03 провели защиту проекта перед пресс-секретарем Натальей Шестаковой, советником Александром Зайцевым и коммерческим директором. Ждем согласования у ЛПР до 1.04</t>
  </si>
  <si>
    <t>Несина</t>
  </si>
  <si>
    <t>Потапенко/Несина</t>
  </si>
  <si>
    <t>стартовое КП - Видение</t>
  </si>
  <si>
    <t>жду встречи с директором</t>
  </si>
  <si>
    <t>вел переписку по почте, жду даты встречи</t>
  </si>
  <si>
    <t>проведено общение по почте</t>
  </si>
  <si>
    <t>ДВ Регион/ Болт</t>
  </si>
  <si>
    <t>Фирстиль</t>
  </si>
  <si>
    <t>обновили КП, ждем ОС</t>
  </si>
  <si>
    <t>Дмитрий должен пообщаться с московскими учредителями и дать ОС</t>
  </si>
  <si>
    <t>лид Софьи Ярич</t>
  </si>
  <si>
    <t>подготовлено и отправлено обновленное КП</t>
  </si>
  <si>
    <t>Новотель&amp;Космос</t>
  </si>
  <si>
    <t>China Friendly для отелей</t>
  </si>
  <si>
    <t>встреча с генеральным менеджером 19.03 в 15.00</t>
  </si>
  <si>
    <t>теплое общение, но у них франшиза, они не являются УК Космоса, поэтому денег нет, хотят два отеля за 150 China friendly, готовы более глубоко разбираться с китайским направлением, хотят диалога с китаистами, ГМ пообещал вывести на московский маркетинг</t>
  </si>
  <si>
    <t>выслано КП</t>
  </si>
  <si>
    <t>Девелопмент ЮГ</t>
  </si>
  <si>
    <t>обсуждение текущих задач и задач на будущее</t>
  </si>
  <si>
    <t>отправлено КП, согласован небольшой пул работ на март ЖК Каштановый двор. Ожидаем запрос на расчет стоимости навигации для ЖК Архитектор в августе 2026г.</t>
  </si>
  <si>
    <t xml:space="preserve">текущий клиент </t>
  </si>
  <si>
    <t xml:space="preserve">Клеменчук </t>
  </si>
  <si>
    <t xml:space="preserve">отправлено  и согласовано КП на изготовление и монтаж табличек на парковке ЖК Каштановый двор </t>
  </si>
  <si>
    <t>Консолидатор-ДВ</t>
  </si>
  <si>
    <t>КП фирстиль, разработка сайта и SMM</t>
  </si>
  <si>
    <t>договариваемся о встрече</t>
  </si>
  <si>
    <t>начали обсуждение еще до НГ, клиент запланировал вернуться ко встрече после трансраши</t>
  </si>
  <si>
    <t>Тедеев, Ярич</t>
  </si>
  <si>
    <t>отправлено КП, разработаны дизайн брошюры и визитки для клиента на трансрашу, чтобы показать потенциальный уровень наших услуг</t>
  </si>
  <si>
    <t>Размещение в мультимедийной системе аэрофлот, таргетированная SMS-рассылка, China friendly, Хайнань</t>
  </si>
  <si>
    <t>Отправила КП по China friendly, Хайнань, по SMS-рассылке конрактовались, прошли модерацию, жду отмашки от клиента чтобы запуститься. Согласовали покупку 3-ех модулей в путеводителе Хайнань. Готовлю КП - ТГ-посевы Владивосток/Хабаровск, РК в Якутске на апрель.</t>
  </si>
  <si>
    <t>25.02 в 15.00 состоялась встреча, обсудили текущие дела. Запускаем СМС-рассылку, гтовим КП, ждем когда наберется пул клиентов, чтоб контрактоваться по Хайнаню.</t>
  </si>
  <si>
    <t>Размещение в путеводителе Hainan Airlines</t>
  </si>
  <si>
    <t>Отправила КП</t>
  </si>
  <si>
    <t>Ответ отрицательный, предыдущее размещение в путеводителе не дало ожидаемого результата. Ясно дали понять, что не хотят взаимодействовать по другим вопросам.</t>
  </si>
  <si>
    <t>Отправлено КП.</t>
  </si>
  <si>
    <t>Договорились на встречу с начальником HR 16.04</t>
  </si>
  <si>
    <t>Договорились о встрече, подготовили презу с кейсами по продвижению HR бренда</t>
  </si>
  <si>
    <t>АТМОСФЕРА</t>
  </si>
  <si>
    <t>China friendly, Хайнань, коллаборация с блогерами</t>
  </si>
  <si>
    <r>
      <rPr>
        <rFont val="Arial"/>
        <color theme="1"/>
        <sz val="12.0"/>
      </rPr>
      <t xml:space="preserve">Отправила 2 КП на китайскую ЦА - съехали по итогу, скахзали, пока не готовы, у них нет там какой-то лицензии на размещение китайцев, не понимаю, о чем речь.. Закинула идею коллаборации с ребятами, которые идут пешком с Москвы до Владивостока, идея зашла. </t>
    </r>
    <r>
      <rPr>
        <rFont val="Arial"/>
        <color rgb="FFFF0000"/>
        <sz val="12.0"/>
      </rPr>
      <t>Идея крутая!!!</t>
    </r>
  </si>
  <si>
    <t>ДВ Лайн</t>
  </si>
  <si>
    <t>Производство, может что-то еще</t>
  </si>
  <si>
    <t>Напомнила им о смете, которая давно была на согласовании по фасадным баннерам, в итоге в марте заказ осуществили. Отправила смету по фасадной растяжке Надо подумать, можем ли еще что-то предложить.</t>
  </si>
  <si>
    <t>реализовали заказ, отправили еще смету.</t>
  </si>
  <si>
    <t>Дамплинг Репаблик</t>
  </si>
  <si>
    <t>Реализация маркетинговой стратегии, которую им разработали, китайское направление</t>
  </si>
  <si>
    <t>Отправила КП по размещению на монитораз в ПВЗ WB, и КП по Hainan Airlines</t>
  </si>
  <si>
    <t>На все отвечают, что им не надо. Особенно удивила такая реакция на КП по Хайнаню. Еще когда работали, было впечатление, что им интересны китайцы.</t>
  </si>
  <si>
    <t>отправлены КП</t>
  </si>
  <si>
    <t>Автогранат Сити</t>
  </si>
  <si>
    <t>Замена дорожного знака согласно новому законодательству</t>
  </si>
  <si>
    <t>Жду от Аникина итоговый возможный вариант размещения, контрактуемся с клиентом</t>
  </si>
  <si>
    <t>Что еще им можем предложить?</t>
  </si>
  <si>
    <t>в работе небольшой проект</t>
  </si>
  <si>
    <t>Винлаб</t>
  </si>
  <si>
    <t>Замена всех дорожных знаков согласно новому законодательству</t>
  </si>
  <si>
    <t>март-май</t>
  </si>
  <si>
    <t>Жду от Аникина итоговый возможный вариант размещения, КП</t>
  </si>
  <si>
    <t>текущий целевой клиент</t>
  </si>
  <si>
    <t>формирование КП в процессе</t>
  </si>
  <si>
    <t>ЗЕВС</t>
  </si>
  <si>
    <t>SEO, Яндекс Директ, аналитика для компании торгующей запчастями для грузовой техники</t>
  </si>
  <si>
    <t>25-31.03.2026</t>
  </si>
  <si>
    <t>назначена встреча на 2.04.2026</t>
  </si>
  <si>
    <r>
      <rPr>
        <color rgb="FF1155CC"/>
        <sz val="12.0"/>
        <u/>
      </rPr>
      <t>zevsparts.ru</t>
    </r>
    <r>
      <rPr>
        <sz val="12.0"/>
      </rPr>
      <t xml:space="preserve"> - основной сайт  </t>
    </r>
    <r>
      <rPr>
        <color rgb="FF1155CC"/>
        <sz val="12.0"/>
        <u/>
      </rPr>
      <t>spec.zevsparts.ru</t>
    </r>
    <r>
      <rPr>
        <sz val="12.0"/>
      </rPr>
      <t xml:space="preserve"> - сайт спец техники, </t>
    </r>
    <r>
      <rPr>
        <color rgb="FF1155CC"/>
        <sz val="12.0"/>
        <u/>
      </rPr>
      <t>repareparts.ru</t>
    </r>
    <r>
      <rPr>
        <sz val="12.0"/>
      </rPr>
      <t xml:space="preserve"> розничный сайт, Михаил Прус - генеральный директор, +79143379767</t>
    </r>
  </si>
  <si>
    <t>предварительная аналитика</t>
  </si>
  <si>
    <t>ГК Д-25 
(ЖК Малахит, Нефрит, Агат)</t>
  </si>
  <si>
    <t>навигация ЖК</t>
  </si>
  <si>
    <t>направлена презентация для застройщиков</t>
  </si>
  <si>
    <t>чат маркетологов</t>
  </si>
  <si>
    <t>клиент ознакомился с презентацией, зафиксировал у себя наши возможности. Задачи по навигации в стадии формирования. Предложила встречу, пока не готовы, вернемся к обсуждению в апреле.</t>
  </si>
  <si>
    <t>Гемотест</t>
  </si>
  <si>
    <t xml:space="preserve">Подготовлена аналитика, сформирована первая итерация презентации. </t>
  </si>
  <si>
    <t>Адаптируем под более прикладной формат, прежде чем выходить на клиента</t>
  </si>
  <si>
    <t>Аналитика, презентация для клиента</t>
  </si>
  <si>
    <t>ДНС СИТИ</t>
  </si>
  <si>
    <t>АП</t>
  </si>
  <si>
    <t>Сформирована АП по размещению Б.Камень-Фокино</t>
  </si>
  <si>
    <t>Продан 1 щит на 5 месяцев</t>
  </si>
  <si>
    <t xml:space="preserve">Предложила продлить размещение </t>
  </si>
  <si>
    <t>Допродала 1 щит на 3 месяца</t>
  </si>
  <si>
    <t>ИТОГО ЗА МАРТ:</t>
  </si>
  <si>
    <t>факт-МАРТ</t>
  </si>
  <si>
    <r>
      <rPr>
        <rFont val="Arial"/>
        <color theme="1"/>
        <sz val="12.0"/>
      </rPr>
      <t xml:space="preserve">Подряд (креативная концепция; КП на комплексную РК), ФСК, Сити-Комплекс, ВМРП, ВМТП, СК Колымская, Rodina Residens/VGH, туроператор Южная Корея (агентство Европа Адветайзинг), Алмазэргиэнбанк- </t>
    </r>
    <r>
      <rPr>
        <rFont val="Arial"/>
        <b/>
        <color theme="1"/>
        <sz val="12.0"/>
      </rPr>
      <t>всего: 10</t>
    </r>
  </si>
  <si>
    <r>
      <rPr>
        <rFont val="Arial"/>
        <color theme="1"/>
        <sz val="12.0"/>
      </rPr>
      <t xml:space="preserve">Родимая Сторонка, Пятерочка, Сити-Комплекс, Девелопмент-ЮГ, Rodina Residens/VGH, Винлаб, - </t>
    </r>
    <r>
      <rPr>
        <rFont val="Arial"/>
        <b/>
        <color theme="1"/>
        <sz val="12.0"/>
      </rPr>
      <t>всего: 6</t>
    </r>
  </si>
  <si>
    <r>
      <rPr>
        <rFont val="Arial"/>
        <color theme="1"/>
        <sz val="12.0"/>
      </rPr>
      <t xml:space="preserve">ВМТП, Эксполес - </t>
    </r>
    <r>
      <rPr>
        <rFont val="Arial"/>
        <b/>
        <color theme="1"/>
        <sz val="12.0"/>
      </rPr>
      <t>всего: 2</t>
    </r>
  </si>
  <si>
    <r>
      <rPr>
        <rFont val="Arial"/>
        <color theme="1"/>
        <sz val="12.0"/>
      </rPr>
      <t xml:space="preserve">Подряд, ФСК, ВМРП, Иль Де Боте, Космос&amp;Новотель, Совкомфлот, Консолидатор ДВ, Штыковские Двери - </t>
    </r>
    <r>
      <rPr>
        <rFont val="Arial"/>
        <b/>
        <color theme="1"/>
        <sz val="12.0"/>
      </rPr>
      <t>всего:8</t>
    </r>
  </si>
  <si>
    <r>
      <rPr>
        <rFont val="Arial"/>
        <color theme="1"/>
        <sz val="12.0"/>
      </rPr>
      <t>-</t>
    </r>
    <r>
      <rPr>
        <rFont val="Arial"/>
        <b/>
        <color theme="1"/>
        <sz val="12.0"/>
      </rPr>
      <t xml:space="preserve"> всего:9</t>
    </r>
  </si>
  <si>
    <t>ГК Д25, Белый Брокер (брендинг)</t>
  </si>
  <si>
    <t>по базе 39 строчек</t>
  </si>
  <si>
    <t>План встреч на АПРЕЛЬ</t>
  </si>
  <si>
    <t>ЖИДКИХ-3 встречи</t>
  </si>
  <si>
    <t>ПОТАПЕНКО-8</t>
  </si>
  <si>
    <t>ТИМЕНЧУК-5</t>
  </si>
  <si>
    <t>МАТЛАК - 5</t>
  </si>
  <si>
    <t>ЯКИМЕНКО-5 (1/2 месяца)</t>
  </si>
  <si>
    <t>рассылка КП по отелям - 20</t>
  </si>
  <si>
    <t>РЕМИ (встреча с Шатыро) - 10 апреля</t>
  </si>
  <si>
    <t>Вжух и магия - ждем месяц и повторяем заход в мае</t>
  </si>
  <si>
    <t>ВМТП - отправка КП и ТЗ по TG и онлайн, ждем ОС и решений</t>
  </si>
  <si>
    <t>Родимая сторонка с участием Ярич</t>
  </si>
  <si>
    <t>рассылка КП по Хайнань - ПРИОРИТЕТ!!!</t>
  </si>
  <si>
    <t>Эдельвейс - организовать совместную встречу с Викой Якименко и/или АБ</t>
  </si>
  <si>
    <r>
      <rPr>
        <rFont val="Arial"/>
        <color theme="1"/>
        <sz val="12.0"/>
      </rPr>
      <t>Гемотест - втреча в офисе/подготовка с Гридневой/</t>
    </r>
    <r>
      <rPr>
        <rFont val="Arial"/>
        <b/>
        <color theme="1"/>
        <sz val="12.0"/>
      </rPr>
      <t>договорились с клиентом на встречу после середины мая</t>
    </r>
  </si>
  <si>
    <t>Европа Эдвертайзинг/Ifly, ждем ОС на наше КП</t>
  </si>
  <si>
    <t>рассылка КП по ЖК</t>
  </si>
  <si>
    <t>ЗЕВС/Прус - встреча прошла - передано в БОЛТ в работу</t>
  </si>
  <si>
    <t>Санас- SMM, добиваемсмя встречи с руководителем</t>
  </si>
  <si>
    <t>Сахалинская Энергия, ждем ОС по ивентам для детей во Владивостоке и в Китае-Блг</t>
  </si>
  <si>
    <t>Токио - Ницора?? Она будет на форуме в ХБР</t>
  </si>
  <si>
    <t>Твоя Аптека - еще ждем ОС по SMM российскому?</t>
  </si>
  <si>
    <t>Трансгаз</t>
  </si>
  <si>
    <t>Астон Владивосток</t>
  </si>
  <si>
    <t>разработка КП по рекламному размещению в новостроях</t>
  </si>
  <si>
    <t>Эскадра (Анна Строкова), другие контактеры</t>
  </si>
  <si>
    <t>Совкомфлот???</t>
  </si>
  <si>
    <t>Авачинское - ждем ОС на обновленное КП?</t>
  </si>
  <si>
    <t>ЖК Гринхилс - с участием Болта/Вани????</t>
  </si>
  <si>
    <t>СМУ 88 - застройщик</t>
  </si>
  <si>
    <t>Гиперавто - на май будем вместе думать</t>
  </si>
  <si>
    <t>Дамплинг Репаблик - написал на почту  Ивану</t>
  </si>
  <si>
    <t>Аптека Миницен - ждем встречи по китайской теме</t>
  </si>
  <si>
    <t>МИРА - апрель</t>
  </si>
  <si>
    <t>Водник- поиск контактов</t>
  </si>
  <si>
    <t>СЗ Престиж строй/5 Элементов/Руслан Загороднюк</t>
  </si>
  <si>
    <t>Полиметал - в HR актуальности нет, ждем контакт Риты для диагностики потребностей</t>
  </si>
  <si>
    <t>ЖК Соболь, Михайлюк Вадим</t>
  </si>
  <si>
    <t>Консолидатор-ДВ- фирм стиль</t>
  </si>
  <si>
    <t>СЗ Трудовое 1 ЖК Заметный. Организовать встречу - Симанчук+Бойко</t>
  </si>
  <si>
    <t>Ренесанс-Актив - есть контакт маркетолога Ирины. пока заходим от ДВ региона с навигацией. БОЛТ изучает их SMM и возможности захода на него.</t>
  </si>
  <si>
    <t>Приоритеты: Хайнань, брендинг, ЖК по навигации</t>
  </si>
  <si>
    <t>Проработать совместно план встречи в апреле</t>
  </si>
  <si>
    <t>проведена первая встреча 2.04.2025 в 9.00</t>
  </si>
  <si>
    <t>проведена встреча, готовим КП</t>
  </si>
  <si>
    <r>
      <rPr>
        <color rgb="FF1155CC"/>
        <sz val="12.0"/>
        <u/>
      </rPr>
      <t>zevsparts.ru</t>
    </r>
    <r>
      <rPr>
        <sz val="12.0"/>
      </rPr>
      <t xml:space="preserve"> - основной сайт  </t>
    </r>
    <r>
      <rPr>
        <color rgb="FF1155CC"/>
        <sz val="12.0"/>
        <u/>
      </rPr>
      <t>spec.zevsparts.ru</t>
    </r>
    <r>
      <rPr>
        <sz val="12.0"/>
      </rPr>
      <t xml:space="preserve"> - сайт спец техники, </t>
    </r>
    <r>
      <rPr>
        <color rgb="FF1155CC"/>
        <sz val="12.0"/>
        <u/>
      </rPr>
      <t>repareparts.ru</t>
    </r>
    <r>
      <rPr>
        <sz val="12.0"/>
      </rPr>
      <t xml:space="preserve"> розничный сайт, Михаил Прус - генеральный директор, +79143379767</t>
    </r>
  </si>
  <si>
    <r>
      <rPr>
        <rFont val="Arial"/>
        <color theme="1"/>
        <sz val="12.0"/>
      </rPr>
      <t xml:space="preserve">проведена встреча с Шатыро 10.04, </t>
    </r>
    <r>
      <rPr>
        <rFont val="Arial"/>
        <color rgb="FFFF0000"/>
        <sz val="12.0"/>
      </rPr>
      <t>готовимся к тендеру на наружку</t>
    </r>
  </si>
  <si>
    <t>1. До конца 2026 года бренд Реми сохранится, а может быть и даже на 2027.                                            2. В мае месяце начнутся тендерные процедуры по регламентам Ленты, надо готовиться.                                        3. Возможные для нас тендеры: наружка по регионам, кроме Владивостока, ШФП по регионам с логистикой, онлайн-продвижение по доставке (планируется к запуску).                                           4. Попробовать предложить операторство по продаже их рекламных возможностей (вопрос не обсуждался, но я его спрошу про эту тему).                                    5. Можно попробовать вписаться в бюджет HR-департамента</t>
  </si>
  <si>
    <t>нецелевой клиент Матлак, Цель увеличить бюджет 2026 года до 1,5 млн ВП</t>
  </si>
  <si>
    <t>СЗ Престиж строй/ ЖК 5 Элемент</t>
  </si>
  <si>
    <t>диагностика возможностей</t>
  </si>
  <si>
    <t>апрель</t>
  </si>
  <si>
    <r>
      <rPr>
        <rFont val="Arial"/>
        <color theme="1"/>
        <sz val="12.0"/>
      </rPr>
      <t xml:space="preserve">встреча 16.04 в 18.00, </t>
    </r>
    <r>
      <rPr>
        <rFont val="Arial"/>
        <color rgb="FFFF0000"/>
        <sz val="12.0"/>
      </rPr>
      <t>перенос на 29.04</t>
    </r>
  </si>
  <si>
    <t>проявлен большой интерес к КП по навигации</t>
  </si>
  <si>
    <t>КП исследование по Благовещенску</t>
  </si>
  <si>
    <t>отправлено КП 1.04.2026</t>
  </si>
  <si>
    <t>ждем лоп информацию от Роскадастра, 8.04 защита проекта у клиента перед ЛПР</t>
  </si>
  <si>
    <t>Договорились на встречу с начальником HR, она пока загружена, договорились созвониться и назначить встречу 27.04</t>
  </si>
  <si>
    <t>направлена презентация для застройщиков, направлено КП на изготовление и монтаж номеров квартир</t>
  </si>
  <si>
    <t>клиент ознакомился с презентацией, зафиксировал у себя наши возможности. Задачи по навигации в стадии формирования. Предложила встречу, пока не готовы, вернемся к обсуждению в апреле.
Отправлено кп на изготовление и монтаж номеров квартир. ОС от клиента-очень дорого, предложила пересчитать другие варианты</t>
  </si>
  <si>
    <t>Владхлеб</t>
  </si>
  <si>
    <t>сувенирная продукция</t>
  </si>
  <si>
    <t>встретились с сотрудников кадровой службы, отвечающим за мероприятия и подготовку брендированной продукции для сотрудников. Направили КП.</t>
  </si>
  <si>
    <t>Познакомились, показали образцы сувенирной продукции вживую. Ожидают от нас КП</t>
  </si>
  <si>
    <t>подавались на тендер на тендерной площадке</t>
  </si>
  <si>
    <t xml:space="preserve">Подготовили и направили КП на сувенирную продукцию, передали образцы сувенирки на согласование. 
Клиент выбрал другого поставщика по сувенирке - ЛаоЛао (работают с Китаем)
</t>
  </si>
  <si>
    <t>Минный городок</t>
  </si>
  <si>
    <t>путеводитель Hainan</t>
  </si>
  <si>
    <t>назначена встреча на 13.04.2026</t>
  </si>
  <si>
    <t xml:space="preserve">встреча перенесена на период после завершения строительства первой линии аттракционов </t>
  </si>
  <si>
    <t>запрос из чата маркетологов + контакт Алеси</t>
  </si>
  <si>
    <t>отправлено КП</t>
  </si>
  <si>
    <t>УК Космос Отель Групп</t>
  </si>
  <si>
    <t>китайский SMM</t>
  </si>
  <si>
    <t>конференц-колл на 9.04</t>
  </si>
  <si>
    <t>16.04 отправлено КП по китайскому контент-маркетингу</t>
  </si>
  <si>
    <t>Веремейчик</t>
  </si>
  <si>
    <t>Веремейчик/Потапенко</t>
  </si>
  <si>
    <t>отправлено видение дорожной карты проекта, старый аудит соц сетей и презентация агентства</t>
  </si>
  <si>
    <t>УК ГОСТ Менеджмент</t>
  </si>
  <si>
    <t>обсуждаем платформу бренда</t>
  </si>
  <si>
    <t>конференц-колл на 10.04</t>
  </si>
  <si>
    <t>готовим КП по разработке маркетинговой стратегии и по китайскому тестовому маркетингу (контент-маркетингу)</t>
  </si>
  <si>
    <t>целевой клиент Якименко</t>
  </si>
  <si>
    <t>бенчмаркинг позиционирования мировых премиальных отелей</t>
  </si>
  <si>
    <t>Жуклевичъ</t>
  </si>
  <si>
    <t>назначена встреча на 10.04.2026</t>
  </si>
  <si>
    <t>была проведена встреча, клиенту в целом интересно китайское направление, клиент попросил предоставить КП по China-friendly, отправил, жду ОС</t>
  </si>
  <si>
    <t>личный контакт</t>
  </si>
  <si>
    <t>проведена встреча, отправлено КП</t>
  </si>
  <si>
    <t>СЗ ТРУДОВОЕ 1/ЖК ЗАМЕТНЫЙ</t>
  </si>
  <si>
    <t>продукты для застройщиков, нестандартный PR</t>
  </si>
  <si>
    <t>21.04.2026 состоялась встреча с участием главного акционера, который познакомил меня с Константином Пильником - директором по маркетингу и Богданом - директором по продажам. Готовлю отчет о встрече клиенту. 23.04 проведена внутренняя штурмовка и отправлен отчет о встрече клиенту, ждем ОС</t>
  </si>
  <si>
    <t>готовимся ко второй встрече с клиентом в составе Ира+Софья+Кирилл</t>
  </si>
  <si>
    <t>Потапенко/Тименчук/Ярич</t>
  </si>
  <si>
    <t>высланы продуктовые презентации для СЗ</t>
  </si>
  <si>
    <t>Корпорация развития Приморского края</t>
  </si>
  <si>
    <t>КП PR-продвижение производственно-складского комплекса в промышленном парке Большой Камень</t>
  </si>
  <si>
    <t>отправлено КП 13.04.2026</t>
  </si>
  <si>
    <t>входящий запрос</t>
  </si>
  <si>
    <t>Тименчук/Клеменчук</t>
  </si>
  <si>
    <t>отправлено КП (PR-план продвижения проекта)</t>
  </si>
  <si>
    <t>Астон</t>
  </si>
  <si>
    <t>навигация ЖК; производство в целом</t>
  </si>
  <si>
    <t>Встреча с руководителем отдела продаж.
Направлено КП маркетологу</t>
  </si>
  <si>
    <t xml:space="preserve">Все решения принимает Москва, на месте практически ничего не решается. Продажи на текущий момент низкие.
Есть  исполнитель на забор, уже ведутся работы. Будут рассматривать нас в качестве подрядчика на вновь возникшие задачи  </t>
  </si>
  <si>
    <t>15.04 направлю КП маркетологу</t>
  </si>
  <si>
    <t>Eagle Hotel</t>
  </si>
  <si>
    <t xml:space="preserve">будет встреча 14.04.2026 </t>
  </si>
  <si>
    <t>заинтересованы в привлечении китайцев, коммерческий весь диалог пробовал обесценить наше предложение и сбить цену, не будем работать</t>
  </si>
  <si>
    <t>холодный контакт Жидких</t>
  </si>
  <si>
    <t>Жидких/Тедеев</t>
  </si>
  <si>
    <t>проведена встреча</t>
  </si>
  <si>
    <t xml:space="preserve">Алмазэргиэнбанк </t>
  </si>
  <si>
    <t xml:space="preserve">встреча с вице-президентом банка </t>
  </si>
  <si>
    <t>встреча 16.04, готовим КП на продвижение продуктов банка на территории Владивостока</t>
  </si>
  <si>
    <t xml:space="preserve">Хорошая позитивная встреча.
Клиент планирует развитие бизнеса на территории Владивостока, перспективы сотрудничества в будущем могут быть неплохие </t>
  </si>
  <si>
    <t>готовим КП</t>
  </si>
  <si>
    <t>Владивостокский мебельный завод</t>
  </si>
  <si>
    <t xml:space="preserve">отправлено КП на размещение на ТВ </t>
  </si>
  <si>
    <t>клиент запросил расчёты не только у нас. Сделали ему расчёт в три раза дешевле, чем мы</t>
  </si>
  <si>
    <t>отправили 2 КП</t>
  </si>
  <si>
    <t>встреча с презентацией вариантов концепций мероприятий + КП</t>
  </si>
  <si>
    <t>встреча состоялась, по ее итогом клиенту понравились 2 концепции неформального мероприятия, отправила КП по ним + КП по официциальному открытию шоу-рума</t>
  </si>
  <si>
    <t>Ждем о.с. отк лиента</t>
  </si>
  <si>
    <t>текущий нецелевой клиент Якименко</t>
  </si>
  <si>
    <t>состоялась встреча, отправлены КП</t>
  </si>
  <si>
    <t>КП по застройке стенда</t>
  </si>
  <si>
    <t>Смета отправлена 16.04, ждем ответ на неделе 20-24.04</t>
  </si>
  <si>
    <t>вышли на связь после встречи Якименко +КГ</t>
  </si>
  <si>
    <t>КП отправлено</t>
  </si>
  <si>
    <t>брифинг по брендбуку</t>
  </si>
  <si>
    <t>15.04 состоялся созвон с Денисом Пахомовым, на котором провели брифинг по их потребности обновления брендбука, после встречи заполнили бриф и 17.04 отправили ему на согласование, 22.04 отправлено КП</t>
  </si>
  <si>
    <t>Тименчук/Якименко</t>
  </si>
  <si>
    <t>проведен брифинг, бриф на согласовании</t>
  </si>
  <si>
    <t>ТЦ Выселковая</t>
  </si>
  <si>
    <t>КП навигация</t>
  </si>
  <si>
    <t xml:space="preserve">20.04 направлено КП </t>
  </si>
  <si>
    <t>направлено КП навигация</t>
  </si>
  <si>
    <t xml:space="preserve">КП сувенирная и полиграфическая продукция </t>
  </si>
  <si>
    <t>22.04 направлено КП</t>
  </si>
  <si>
    <t>направлено КП сувенирная, полиграфическая продукция</t>
  </si>
  <si>
    <t>СЗ Статус Девелопмент</t>
  </si>
  <si>
    <t>КП для застройщиков</t>
  </si>
  <si>
    <t>23.04 отрпавлена презентация, ПКГ в контакте с владельцем и ген директором - Исаков Алексей Геннадьевич</t>
  </si>
  <si>
    <t>Скоро новый актуальный проект, предыдущий проданный объект ЖК Пастораль на Сад-Городе</t>
  </si>
  <si>
    <t>отправлена презентация</t>
  </si>
  <si>
    <t>установка ЛЕД-экрана</t>
  </si>
  <si>
    <t>встреча на объекте в Соловей Ключе</t>
  </si>
  <si>
    <t>получено предварительное ТЗ, нужен выезд на место с Федорцом</t>
  </si>
  <si>
    <t>Бунтуш</t>
  </si>
  <si>
    <t>УК АУРА ДЕВЕЛОПМЕНТ</t>
  </si>
  <si>
    <t>АП в ЖК МАКЛАЙ и БРИНЕР</t>
  </si>
  <si>
    <t>апрель-май</t>
  </si>
  <si>
    <t>встреча 29 апреля с Еленой Поляковой</t>
  </si>
  <si>
    <t>обсуждение условий сотрудничества</t>
  </si>
  <si>
    <t>Якименко/Бунтуш</t>
  </si>
  <si>
    <t>проведена первая встреча, предложен договор, который не устроил</t>
  </si>
  <si>
    <t>декабрь-май</t>
  </si>
  <si>
    <t>в декабре отправили КП фирстиль, из-за большой загруженности клиент перенес рассмотрение на более поздний срок, а именно после участия в трансраше, чтобы показать клиенту наши возможности, мы подготовили дизайн буклетов и визиток, производственный отдел их изготовил, через неделю после трансраши мы снова подняли вопрос, наш дизайн был хорошо воспринят во время трансраши и понравился клиенту, но руководство клиента по-прежнему не приняло решение зайти на разработку фирстиля, в качестве ответного хода мы предложили скидку, ждем ОС</t>
  </si>
  <si>
    <t>Ярич/ Тедеев</t>
  </si>
  <si>
    <t>проведена встреча, отправлено КП, разработан дизайн в качестве образца уровня нашей работы</t>
  </si>
  <si>
    <t>в апреле через довольно долгий перерыв на связь вышел ответственный сотрудник и ответил, что их интересует привелечение туристических групп, я ответил, что мы занимаемся привелечением самостоятельных туристов и предложил поделиться информацией в данной сфере и обсудить работу по российскому рынку, данный ответственный сотрудник мое сообщение проигнорировал, поэтому я написал сотруднику, который мне ответил изначально и предложил организовать созвон или встречу, ответили, что интерес есть только к привлечению групповых туристов, другие вопросы обсуждать не намерены</t>
  </si>
  <si>
    <t>отправлено КП, попытка назначить встречу</t>
  </si>
  <si>
    <t>разработка дизайна промо-кампании</t>
  </si>
  <si>
    <t>продажа</t>
  </si>
  <si>
    <t>разработали дизайн для промо-кампании Винлаб</t>
  </si>
  <si>
    <t>разработан дизайн промо-кампании</t>
  </si>
  <si>
    <t>Авача</t>
  </si>
  <si>
    <t>дизайн упаковки</t>
  </si>
  <si>
    <t>отказ</t>
  </si>
  <si>
    <t>клиент выбирал из трех компаний, включая нас, к сожалению он выбрал другое агентство с ценником в два раза выше и сомнительными компетенциями</t>
  </si>
  <si>
    <t>контакт Ярич</t>
  </si>
  <si>
    <t>отправлено КП, отправлено скорректированное КП, проведено много переговорной работы</t>
  </si>
  <si>
    <t>Родина</t>
  </si>
  <si>
    <t>маркетинг на аутсорсе</t>
  </si>
  <si>
    <t>отправили КП клиенту, он ответил, что у него есть лимит по бюджету, отправили скорректированное КП, ждем ОС</t>
  </si>
  <si>
    <t>отправлено КП, отправлено скорректированное КП</t>
  </si>
  <si>
    <t>Разработана карта присутствия клиента и его конкурентов в ДВФО</t>
  </si>
  <si>
    <t>ждем встречу в мае после праздников</t>
  </si>
  <si>
    <t>готовим презентацию для встречи</t>
  </si>
  <si>
    <t>Родимая Сторонка</t>
  </si>
  <si>
    <t>Направлены АП по городам на июнь</t>
  </si>
  <si>
    <t>подтверждены АП на июнь</t>
  </si>
  <si>
    <t>Голубева/Якименко</t>
  </si>
  <si>
    <t>Направлено КП по колесу в г. Благовещенск</t>
  </si>
  <si>
    <t>предварительно согласовано</t>
  </si>
  <si>
    <t>ждем когда произведут ремонт колеса</t>
  </si>
  <si>
    <t>ВТБ</t>
  </si>
  <si>
    <t xml:space="preserve">направлены КП по разным видам работ </t>
  </si>
  <si>
    <t>согласовано</t>
  </si>
  <si>
    <t>Якименко/Голубева</t>
  </si>
  <si>
    <t>ННК</t>
  </si>
  <si>
    <t>направлено КП</t>
  </si>
  <si>
    <t>Винотерра</t>
  </si>
  <si>
    <t>China-friendly, Hainan</t>
  </si>
  <si>
    <t>винотека на Эгершельде не заинтересована в привлечении китайских покупателей, интересно может быть данному ресторану на Маковского</t>
  </si>
  <si>
    <t>Sopka Residence</t>
  </si>
  <si>
    <t>запускаются в мае, может быть интересно привлечение самостоятельных китайских туристов</t>
  </si>
  <si>
    <t>ИТОГО ЗА АПРЕЛЬ:</t>
  </si>
  <si>
    <t>факт-АПРЕЛЬ</t>
  </si>
  <si>
    <r>
      <rPr>
        <rFont val="Arial"/>
        <color theme="1"/>
        <sz val="12.0"/>
      </rPr>
      <t xml:space="preserve">ФСК - исследование по Благе, ВМРП, КОСМОС ОГ, Rodina hotel Group, Алмазэргиэнбанк, ЗЕВС, ГК Д-25 (КП презентация, КП на изготовление номеров квартир), GLOBAL DEVELOPMENT ЖК БРОНЗА, Владхлеб - КП сувенирка, Минный Городок, Жуклевич, ЗС Трудовое1/Город Заметный, КРПК, Астон, Владивостокский мебельный завод, Т2 - застройка стенда, ТЦ Выселковая, ДГК, СЗ Статус Девелопмент, Эксполес 2 КП по мероприятиям, ГЛК Арсеньев - </t>
    </r>
    <r>
      <rPr>
        <rFont val="Arial"/>
        <b/>
        <color theme="1"/>
        <sz val="12.0"/>
      </rPr>
      <t>всего: 22</t>
    </r>
  </si>
  <si>
    <r>
      <rPr>
        <rFont val="Arial"/>
        <color theme="1"/>
        <sz val="12.0"/>
      </rPr>
      <t xml:space="preserve">Родимая Сторонка, Пятерочка, Сити-Комплекс, RODINA, ВИНЛАБ, РЕМИ - </t>
    </r>
    <r>
      <rPr>
        <rFont val="Arial"/>
        <b/>
        <color theme="1"/>
        <sz val="12.0"/>
      </rPr>
      <t>всего: 6</t>
    </r>
  </si>
  <si>
    <r>
      <rPr>
        <rFont val="Arial"/>
        <color theme="1"/>
        <sz val="12.0"/>
      </rPr>
      <t xml:space="preserve">АлмазЭргиенБанк, Эксполес (3 встречи) - </t>
    </r>
    <r>
      <rPr>
        <rFont val="Arial"/>
        <b/>
        <color theme="1"/>
        <sz val="12.0"/>
      </rPr>
      <t>всего: 4</t>
    </r>
  </si>
  <si>
    <r>
      <rPr>
        <rFont val="Arial"/>
        <color theme="1"/>
        <sz val="12.0"/>
      </rPr>
      <t xml:space="preserve">Космос ОГ, ЗЕВС, ПрестижСтрой/ЖК 5 Элемент, ВЛАДХЛЕБ, Минный Городок, Жуклевич, СЗ Трудовое1/Город Заметный, Астон, ГЛК Арсеньев  - </t>
    </r>
    <r>
      <rPr>
        <rFont val="Arial"/>
        <b/>
        <color theme="1"/>
        <sz val="12.0"/>
      </rPr>
      <t>всего:9</t>
    </r>
  </si>
  <si>
    <t>-</t>
  </si>
  <si>
    <r>
      <rPr>
        <rFont val="Arial"/>
        <color theme="1"/>
        <sz val="12.0"/>
      </rPr>
      <t>РЕМИ, Управление делами администрации г. Южно-Сахалинска; ДГК (сувенирка Хабаровск), Дом РФ, ДРСК, Русский краб, ВТБ, Быстринское (2 этап) -</t>
    </r>
    <r>
      <rPr>
        <rFont val="Arial"/>
        <b/>
        <color theme="1"/>
        <sz val="12.0"/>
      </rPr>
      <t xml:space="preserve"> всего: 8</t>
    </r>
  </si>
  <si>
    <t xml:space="preserve">Владивостокский мебельный завод, Резиденция Сопка </t>
  </si>
  <si>
    <t>по базе 35 строчек</t>
  </si>
  <si>
    <t>План встреч на МАЙ</t>
  </si>
  <si>
    <t>ТЕДЕЕВ/ЯРИЧ/БОЛТ</t>
  </si>
  <si>
    <t xml:space="preserve">ГОЛУБЕВА </t>
  </si>
  <si>
    <t>допродажи путеводителя</t>
  </si>
  <si>
    <t>НИКО&amp;Кристал - ОС по стратегии - после 12.05.2026</t>
  </si>
  <si>
    <t>АЗБУКА МЕБЕЛИ - до 12.05 в отпуске, договорились списаться по возвращении: готов на встречу (30.04)</t>
  </si>
  <si>
    <t>СИТРАК - выход на встречу</t>
  </si>
  <si>
    <t>Гемотест - встреча - презентация</t>
  </si>
  <si>
    <t>выход на конкурентов Владдилера</t>
  </si>
  <si>
    <t>АлмазЭргиэнБанк</t>
  </si>
  <si>
    <t>Родимая сторонка - встреча/брифинг с клиентом по блогерам</t>
  </si>
  <si>
    <t>Поиск потенциальных клиентов по размещению  в новых ЖК, рассылка КП</t>
  </si>
  <si>
    <t>СЗ Трудовое 1 ЖК Заметный. Симанчук - встреча по китайской теме и ОС по пацанам</t>
  </si>
  <si>
    <r>
      <rPr>
        <rFont val="Arial"/>
        <b/>
        <color rgb="FFFF0000"/>
        <sz val="12.0"/>
      </rPr>
      <t xml:space="preserve">Ратимир/с участитем Тименчук, Ярич, Матлак - давайте уже дожмем этот вопрос в мае:) второй месяц переносим. </t>
    </r>
    <r>
      <rPr>
        <rFont val="Arial"/>
        <b/>
        <color rgb="FF4285F4"/>
        <sz val="12.0"/>
      </rPr>
      <t>14 апреля я отправила письмо на Ольгу Ариэль (мар/дир), ОС нет. Может попробовать встречу назначить через Печенкину?</t>
    </r>
  </si>
  <si>
    <t>DNS Ритейл - корректируем и улучшаем качество запроса для Насти, ищем контакты, готовим заход на встречу</t>
  </si>
  <si>
    <t>СЗ Астон</t>
  </si>
  <si>
    <t>Джордж Групп - анализ, подбор "захода к клиенту", поиск контактов</t>
  </si>
  <si>
    <t>ЖК 5 Элементов - 8.05 прошла ВСТРЕЧА ДИАГНОСТИКА</t>
  </si>
  <si>
    <t>RODINA HOTEL GROUP - ОС по маркетинговой стратегии и китайской программе. Ждем ОС, последний выход на связь 30.04</t>
  </si>
  <si>
    <t>Солид Банк - поиск контактов и проработка выхода на клиента</t>
  </si>
  <si>
    <t>DNS City - корректируем и улучшаем качество запроса для Насти, ищем контакты, готовим заход на встречу</t>
  </si>
  <si>
    <t>ВМТП -  ждем ОС по запуску тендерной процедуры</t>
  </si>
  <si>
    <t>Местный Хуторок - подготовить презентацию проекта по выведению на рынок розничного бренда для акционера</t>
  </si>
  <si>
    <t xml:space="preserve">Аптека Миницен - ждем ОС и дожимаем </t>
  </si>
  <si>
    <t>Мира-встреча-защита кп</t>
  </si>
  <si>
    <t>Сфера менеджмент (приморский кондитер/грин агро) предложение по HR</t>
  </si>
  <si>
    <t>Ренесанс-Актив - подготовить совместно альтернативные варианты захода на маркетолога Ирину</t>
  </si>
  <si>
    <t>Встречи с потенциальными покупателями рекламы  вновых ЖК (надо подумать с кем, составить список)</t>
  </si>
  <si>
    <t>КНОТОК (подготовка КП на следюущий год)</t>
  </si>
  <si>
    <t>ФСК-Регион - ОС по китайской программе - ОТКАЗ</t>
  </si>
  <si>
    <t>ГЛК Арсеньев - ОС по платформе бренда, ждем, последний раз запрошена ОС 30.04</t>
  </si>
  <si>
    <t>ВМРП - РС по китайской программе - ОТКАЗ</t>
  </si>
  <si>
    <t>КОСМОС ОГ - ОС по китайской программе - участие в тендере - САМООТВОД</t>
  </si>
  <si>
    <t>ЖК БРОНЗА - ОС от Савельева Игоря</t>
  </si>
  <si>
    <t>Ищем встречу с новым диретором по маркетингу</t>
  </si>
  <si>
    <t>HR маркетинг</t>
  </si>
  <si>
    <t>март-апрель-май</t>
  </si>
  <si>
    <t>Встреча перенеслась на 28.05</t>
  </si>
  <si>
    <t>Договренность о встрече с HR директором</t>
  </si>
  <si>
    <t>Подготовили презу с кейсами по продвижению HR бренда</t>
  </si>
  <si>
    <t>нестандартные решения в наружке, китайская программа</t>
  </si>
  <si>
    <t>апрель-МАЙ</t>
  </si>
  <si>
    <t>готовим эскизный проект на виадуки и подземный переход, фотомонтажи навигационных конструкций на подъезде к объекту. Договоренность о встрече в начале июня</t>
  </si>
  <si>
    <t>проведение встречи с акционером</t>
  </si>
  <si>
    <t>высланы продуктовые презентации для СЗ, митинг репорт</t>
  </si>
  <si>
    <t>подготовка презентации для встречи с инвестором</t>
  </si>
  <si>
    <t>1. предварит обсуждение КП с клиентом 19.05. 16.00                         2. отправили митинг репорт                   3. согласловываем целевую модель для проведения полевого аудита</t>
  </si>
  <si>
    <t>планируем встречу в офисе с владельцем и руководителем проекта. 19.05 провели встречу с командой реформаторов бизнеса. Договорились провести полевой аудит и готовить презентацию  нового проекта для ЛПР до конца июня</t>
  </si>
  <si>
    <t>Потапенко/Гриднева/Тименчук</t>
  </si>
  <si>
    <t>подготовлена презентация -Видение проекта</t>
  </si>
  <si>
    <t>готовим презентацию для встречи, ждем встречу в мае после праздников</t>
  </si>
  <si>
    <t xml:space="preserve">Sopka Residence </t>
  </si>
  <si>
    <t>путеводитель Хайнань, China-friendly</t>
  </si>
  <si>
    <t>встреча 19.05.2026, корректируем КП, повторная встреча 26.05.2026, выход на сделку, готовим КП по оффлайн, ждем ответа по диджитал и китайскому направлению</t>
  </si>
  <si>
    <t>26.05 провели заключительную встречу с владельцем бизнеса, типичный бизнесмен из 90-х с принципами "отвечать за базар", это не является основным бизнесом, но тем не менее результатов нет, отчасти из-за неграмотного руководства нанятого директора по развитию (инстайт), отчасти по другим причинам, сейчас в неделю заезжает всего 2-3 гостя, бизнес работает в минус, поэтому все заинтересованы в инструментах, которые приведут к лидогенерации, в частности, диджитал-инструментам, но от китайского направления тоже не отказываются, оффлайн готовит Вика</t>
  </si>
  <si>
    <t>Тедеев (Якименко - оффлайн часть)</t>
  </si>
  <si>
    <t>назначена встреча, проведены переговоры, отправлены КП по размещению в путеводителе Hainan Airlines, China-friendly, блогерским интеграциям и оформлению и навигации, проведена повторная встреча в нашем офисе, по итогам встречи подготовлено КП по диджитал, оффлайн в процессе</t>
  </si>
  <si>
    <t>Размещение в новых ЖК</t>
  </si>
  <si>
    <t>май</t>
  </si>
  <si>
    <t>контрактация с УК Аура Девелопмент</t>
  </si>
  <si>
    <t>хотят начать размещение именно с ауры, готовы позже рассмотреть и другие варианты</t>
  </si>
  <si>
    <t>нецелевой клиент Якименко</t>
  </si>
  <si>
    <t xml:space="preserve">проведены встречи, договоренности, в работе документы и КП по всем новым ЖК. </t>
  </si>
  <si>
    <t>А ГРУПП</t>
  </si>
  <si>
    <t>Замена баннеров на складских помещениях</t>
  </si>
  <si>
    <t>май-июнь</t>
  </si>
  <si>
    <t>ждем согласование после 20.05</t>
  </si>
  <si>
    <t>смета, коммуникация по просчетам</t>
  </si>
  <si>
    <t>Организация участия Винлаб в мероприятии Inwine Купала</t>
  </si>
  <si>
    <t>Смета согласована, кроме фотозоны, по ней назначена встреча на 27.05 в 11.00</t>
  </si>
  <si>
    <t>есть затык по фотозоне. По хорошему надо обновлять, старая моральноу старела, все ее уже видели, плюс реставрация стоит как новую сделать, клиент артачится, я работаю над этим</t>
  </si>
  <si>
    <t>целевой клиент группы компаний</t>
  </si>
  <si>
    <t>смета, предложены фотопривязки (сгенерила в ИИ) и рефренсы новых вариантов фотозон</t>
  </si>
  <si>
    <t>навигация Хабаровск (наружка)</t>
  </si>
  <si>
    <t>навигация Уссурийск (наружка + усановка указателя)</t>
  </si>
  <si>
    <t>В работе</t>
  </si>
  <si>
    <t>дорожный указатель, план установки 28-29.05</t>
  </si>
  <si>
    <t>запущенно в работу</t>
  </si>
  <si>
    <t>Монтаж баннера Сибирцево</t>
  </si>
  <si>
    <t>выезд на замеры и осмотр конструкции назначен на 1.06</t>
  </si>
  <si>
    <t>назначен выезд на замеры</t>
  </si>
  <si>
    <t>полное перебрендирвоание транспорта, замена баннеров на территории, замена букв на декоративной панели, изготовление букв на стене в офисе, изготовление конструкции под образцы для нового шоу-рума</t>
  </si>
  <si>
    <t>отправлены 4 КП, считаем пятое, переданы образцы материалов для изготовления интерьерной вывески</t>
  </si>
  <si>
    <t>на согласовании.</t>
  </si>
  <si>
    <t>посчитаны сметы</t>
  </si>
  <si>
    <t>листовки, наклейки</t>
  </si>
  <si>
    <t>отработано</t>
  </si>
  <si>
    <t>Капитал Информ</t>
  </si>
  <si>
    <t>брендированные блоки для записей</t>
  </si>
  <si>
    <t>СЗ ДОМ.РФ Девелопмент</t>
  </si>
  <si>
    <t>КП субботник (мероприятие)</t>
  </si>
  <si>
    <t>проект подтвкержден</t>
  </si>
  <si>
    <t>МИРА</t>
  </si>
  <si>
    <t>Подготовка КП (смм)</t>
  </si>
  <si>
    <t>готово</t>
  </si>
  <si>
    <t>запланирована встреча на 28.05</t>
  </si>
  <si>
    <t>Матлак/Шилова</t>
  </si>
  <si>
    <t>Подготовка брифа по блогерам</t>
  </si>
  <si>
    <t>в работе</t>
  </si>
  <si>
    <t>встреча 12.05 онлайн</t>
  </si>
  <si>
    <t xml:space="preserve">Голубева </t>
  </si>
  <si>
    <t>Ярич/Голубева</t>
  </si>
  <si>
    <t>запущено в работу</t>
  </si>
  <si>
    <t>Инвитро</t>
  </si>
  <si>
    <t>Подготовка КП (оформление входной группы,наружка,транзитка,аудио в тц)</t>
  </si>
  <si>
    <t>КП на согласовании</t>
  </si>
  <si>
    <t>сайт</t>
  </si>
  <si>
    <t>Матлак/Якименко (на время отпуска Матлак)</t>
  </si>
  <si>
    <t>Корейский тунец</t>
  </si>
  <si>
    <t>КП на исследование и маркетинговую стратегию</t>
  </si>
  <si>
    <t>готовим письмо КП</t>
  </si>
  <si>
    <t>предлагаем исследование от РБК + маркетинговую стратегию</t>
  </si>
  <si>
    <t>КОСМОС ОГ</t>
  </si>
  <si>
    <t>учкастие в тендере по SMM</t>
  </si>
  <si>
    <t>готовим ценовое предложение, отказались от тендера</t>
  </si>
  <si>
    <t>КП на сувенирную продукцию для выпускников энергетического класса</t>
  </si>
  <si>
    <t>направлено КП, не согласовано</t>
  </si>
  <si>
    <t>запрос брендирование забора</t>
  </si>
  <si>
    <t>встреча на площадке 13.05</t>
  </si>
  <si>
    <t xml:space="preserve">направлено КП </t>
  </si>
  <si>
    <t>художественная роспись</t>
  </si>
  <si>
    <t>выполнено</t>
  </si>
  <si>
    <t>направлено 4 КП</t>
  </si>
  <si>
    <t>на согласовании</t>
  </si>
  <si>
    <t>оформление офисов (Френдли навигация)</t>
  </si>
  <si>
    <t>направлено КП по мероприятиям</t>
  </si>
  <si>
    <t>ожидаем тендер</t>
  </si>
  <si>
    <t>КП для ЖК</t>
  </si>
  <si>
    <t>провел встречу с ген диром, утановил контакт с директором по строительству Богомаз Зоей Алексеевной, получил приглашение на презентацию объекта для риэлторов 20.05 в 12.00.</t>
  </si>
  <si>
    <t>проявлен большой интерес к КП по навигации. Следующий этап утепление отношений с З.В. и знакомство с маркетологом Екатериной Даниловой. 20.05 познакомились на презентации с Зоей алексеевной Богомаз - директором по стройке и с маркетологом Екатериной Даниловой. С Даниловой встреча 29.05, с Богомаз перенос на начало июня</t>
  </si>
  <si>
    <t>отправлено базовое КП для ЖК</t>
  </si>
  <si>
    <t>КП сувенирная продукция дл HR Артемовская ТЭЦ</t>
  </si>
  <si>
    <t>отправлено КП 13.05, 28.05</t>
  </si>
  <si>
    <t>направлено два КП</t>
  </si>
  <si>
    <t xml:space="preserve">подтвержден небольшой 
объём сувенирной продукции
</t>
  </si>
  <si>
    <t>КП брендирование забора Улан-Удэ</t>
  </si>
  <si>
    <t>отправлено КП 15.05</t>
  </si>
  <si>
    <t>PIMS</t>
  </si>
  <si>
    <t>от маркетолога ДВ региона PIMS поступил входящий запрос с целью узнать возможности и стоимость ведения Сяохуншу, рассказал и предложил назначить созвон или встречу, ответа пока не последовало, с самого начала пытаются максимально сбить стоимость наших услуг</t>
  </si>
  <si>
    <t>нас посоветовал Андрей из Ракушки, но пока нет ответа, возможно, дорого для них</t>
  </si>
  <si>
    <t>проведено общение в TG</t>
  </si>
  <si>
    <t>Plastek</t>
  </si>
  <si>
    <t>планирую встречу в мае, точная дата пока не определена, перенос на июнь</t>
  </si>
  <si>
    <t>проведено общение в WA</t>
  </si>
  <si>
    <t>Талан-Владивосток</t>
  </si>
  <si>
    <t>продукты для ЖК</t>
  </si>
  <si>
    <t>отправляем митинг репорт, готовим идеи проектов, планируем встречу со специалистом по агентскому каналу, презентацию Болта</t>
  </si>
  <si>
    <t>провели встречу-диагностику 19.05 с генеральным директором Новгородовым Семеном Александроичем и маркетологом Ладой. Клиент обозначил нам сферы потенциального сотрудничества. 21.05 в 10.00 внутренняя штурмовка</t>
  </si>
  <si>
    <t>ФСК</t>
  </si>
  <si>
    <t>нестандартный PR</t>
  </si>
  <si>
    <t>планирую собрать рабочую группу 22.05</t>
  </si>
  <si>
    <t>проведены короткие переговоры по телефону про выявление потребностей</t>
  </si>
  <si>
    <t>визуальное оформление ЖК (навиагция МОПов, коммерческая)</t>
  </si>
  <si>
    <t>планирую сегодня, 18.05 позвонить клиенту взять контакты ЛПР по этому направлению</t>
  </si>
  <si>
    <t>Гарантийный центр Мой Бизнес</t>
  </si>
  <si>
    <t>оформление офиса</t>
  </si>
  <si>
    <t>состоялась встреча с клиентом на месте 18.05 в 16.00, готовим комплексное КП по оформлению нового офиса</t>
  </si>
  <si>
    <t>Наш старый клиент, написала им, узнав, что они переехали в новый офис</t>
  </si>
  <si>
    <t>Фото помещения, составлено ТЗ</t>
  </si>
  <si>
    <t>УК Новый Дом</t>
  </si>
  <si>
    <t>договор на размещение рекламы</t>
  </si>
  <si>
    <t>встреча с учредителем Ершовым Романом Александровичем</t>
  </si>
  <si>
    <t>Долгих Татьяна</t>
  </si>
  <si>
    <t>Реми</t>
  </si>
  <si>
    <t>тендер SMM</t>
  </si>
  <si>
    <t>готовим документы на подачу заявки, заявка подана</t>
  </si>
  <si>
    <t>тендер не носит обязательного характера, но вдруг это станет началом сотрудничества по другим проектам</t>
  </si>
  <si>
    <t>Клименчук</t>
  </si>
  <si>
    <t>заявка подана</t>
  </si>
  <si>
    <t>Лизинговая компания СОЮЗ</t>
  </si>
  <si>
    <t>оклейка оракалом 20 машин</t>
  </si>
  <si>
    <t>работаем над ТЗ и сметой</t>
  </si>
  <si>
    <t xml:space="preserve"> </t>
  </si>
  <si>
    <t>КП флаги стройплощадка</t>
  </si>
  <si>
    <t>направлено КП, 
на рассмотрении у руководства</t>
  </si>
  <si>
    <t>КП бейджи</t>
  </si>
  <si>
    <t>Инмаркет</t>
  </si>
  <si>
    <t>запрос адресной 
программы под тендер 
Транснефть ДВ</t>
  </si>
  <si>
    <t>направлены адресные программы</t>
  </si>
  <si>
    <t xml:space="preserve">Дом РФ </t>
  </si>
  <si>
    <t xml:space="preserve">встреча </t>
  </si>
  <si>
    <t xml:space="preserve">встреча с Марианной </t>
  </si>
  <si>
    <t>встреча по мероприятию, 
а также обсуждение общих 
векторов сотрудничества</t>
  </si>
  <si>
    <t>УК Лидер</t>
  </si>
  <si>
    <t>знакомство и встреча с директором 
УК Лидер (УК Дом на Востоке)</t>
  </si>
  <si>
    <t>передан контакт Тане Василевской 
для дальнейшего обсуждения 
деталей сотрудничества</t>
  </si>
  <si>
    <t>Каштановый двор</t>
  </si>
  <si>
    <t xml:space="preserve">готовим КП на несколько 
информационных панелей 
для ЖК Каштановый двор, 
которые ранее были некачественно 
смонтированы другим подрядчиком </t>
  </si>
  <si>
    <t>направлено КП на изготовление 
и монтаж информационных панелей</t>
  </si>
  <si>
    <t>ЖК Архитектор</t>
  </si>
  <si>
    <t>запрос на расчёт навигации для 
ЖК Архитектор</t>
  </si>
  <si>
    <t>направили КП с расчетом на 
демо этаж, считаем всю навигацию</t>
  </si>
  <si>
    <t>Здравсити</t>
  </si>
  <si>
    <t>встреча/ созвон</t>
  </si>
  <si>
    <t>Здравсити открывают новые аптеки во Владивостоке, в том числе на турмаршруте, пробую выйти на встречу/ созвон. Аптека более гибкая, нежели Планета здоровья или Твоя аптека. Шансы на выход на продажу выше.</t>
  </si>
  <si>
    <t>общение по почте, пробую выйти на встречу/ созвон</t>
  </si>
  <si>
    <t>Отверткин</t>
  </si>
  <si>
    <t>чистка ростовой куклы</t>
  </si>
  <si>
    <t>Заказ не очень интересный, осуществляем в рамках сервисного обслуживания, так как мы эту куклу им сделали</t>
  </si>
  <si>
    <t>RODINA HOTEL GROUP</t>
  </si>
  <si>
    <t>стратегия продвижения двух объектов во Владивостоке</t>
  </si>
  <si>
    <t>май-август</t>
  </si>
  <si>
    <t>КП согласовано, подготовила доп.соглашения, отправила клиенту на согласование</t>
  </si>
  <si>
    <t>согласовано за вычетом двух последних блоков в КП - бюджетирование и календарь событий</t>
  </si>
  <si>
    <t>текущий целевой клиент Якименко</t>
  </si>
  <si>
    <t>команда проекта. Аккаунт - Якименко</t>
  </si>
  <si>
    <t>TopGun</t>
  </si>
  <si>
    <t>Сяохуншу, Гаодэ, Дяньпин</t>
  </si>
  <si>
    <t>ответили, что пока рассматривают разблокировку аккаунта и перевод аккаунта в официальный статус, если получится успешно разблокировать аккаунт, то можем обсудить дальнейшее сотрудничество</t>
  </si>
  <si>
    <t>заинтересовались Сяохуншу, Гаодэ и Дяньпинь, но в конце 2026 года их партнеры открывают большой стрелковый комплекс рядом с Tigre de crystal, предложил сотрудничество по российскому SMM, если такая помощь понадобится</t>
  </si>
  <si>
    <t>отправлено КП, проведен диалог в WA</t>
  </si>
  <si>
    <t>Феско</t>
  </si>
  <si>
    <t>КП сувенирная продукция</t>
  </si>
  <si>
    <t>делаем расчет КП</t>
  </si>
  <si>
    <t>сбор КП для будущего тендера</t>
  </si>
  <si>
    <t>ИТОГО ЗА МАЙ:</t>
  </si>
  <si>
    <t>факт-МАЙ</t>
  </si>
  <si>
    <r>
      <rPr>
        <rFont val="Arial"/>
        <color theme="1"/>
        <sz val="12.0"/>
      </rPr>
      <t xml:space="preserve"> - </t>
    </r>
    <r>
      <rPr>
        <rFont val="Arial"/>
        <b/>
        <color theme="1"/>
        <sz val="12.0"/>
      </rPr>
      <t xml:space="preserve">всего: </t>
    </r>
    <r>
      <rPr>
        <rFont val="Arial"/>
        <color theme="1"/>
        <sz val="12.0"/>
      </rPr>
      <t xml:space="preserve">СЗ ДОМ.РФ Девелопмент, ДГК (ТЭЦ Восточная),  ДГК (Артемовская ТЭЦ) - 2 КП, Астон  - 3 КП, ПИК, Инмаркет, Каштановый двор, ЖК Архитектор, Заметный, А ГРУПП, Винлаб - 4КП, Эксполес - 6 КП, Капитал Информ, Инвитро, Гарантийный центр Мой Бизнес - </t>
    </r>
    <r>
      <rPr>
        <rFont val="Arial"/>
        <b/>
        <color theme="1"/>
        <sz val="12.0"/>
      </rPr>
      <t>всего 26</t>
    </r>
  </si>
  <si>
    <r>
      <rPr>
        <rFont val="Arial"/>
        <color theme="1"/>
        <sz val="12.0"/>
      </rPr>
      <t xml:space="preserve"> - </t>
    </r>
    <r>
      <rPr>
        <rFont val="Arial"/>
        <b/>
        <color theme="1"/>
        <sz val="12.0"/>
      </rPr>
      <t xml:space="preserve">всего: </t>
    </r>
    <r>
      <rPr>
        <rFont val="Arial"/>
        <color theme="1"/>
        <sz val="12.0"/>
      </rPr>
      <t xml:space="preserve">Винлаб - </t>
    </r>
    <r>
      <rPr>
        <rFont val="Arial"/>
        <b/>
        <color theme="1"/>
        <sz val="12.0"/>
      </rPr>
      <t>всего 1</t>
    </r>
  </si>
  <si>
    <r>
      <rPr>
        <rFont val="Arial"/>
        <color theme="1"/>
        <sz val="12.0"/>
      </rPr>
      <t xml:space="preserve">- </t>
    </r>
    <r>
      <rPr>
        <rFont val="Arial"/>
        <b/>
        <color theme="1"/>
        <sz val="12.0"/>
      </rPr>
      <t xml:space="preserve">всего: </t>
    </r>
    <r>
      <rPr>
        <rFont val="Arial"/>
        <color theme="1"/>
        <sz val="12.0"/>
      </rPr>
      <t xml:space="preserve">СЗ Дом.РФ.Девелопмент, Каштановый двор, Гарантийный центр Мой Бизнес - </t>
    </r>
    <r>
      <rPr>
        <rFont val="Arial"/>
        <b/>
        <color theme="1"/>
        <sz val="12.0"/>
      </rPr>
      <t>всего 3</t>
    </r>
  </si>
  <si>
    <r>
      <rPr>
        <rFont val="Arial"/>
        <color theme="1"/>
        <sz val="12.0"/>
      </rPr>
      <t xml:space="preserve"> - </t>
    </r>
    <r>
      <rPr>
        <rFont val="Arial"/>
        <b/>
        <color theme="1"/>
        <sz val="12.0"/>
      </rPr>
      <t>всего:</t>
    </r>
    <r>
      <rPr>
        <rFont val="Arial"/>
        <color theme="1"/>
        <sz val="12.0"/>
      </rPr>
      <t xml:space="preserve"> УК Лидер, Астон, Sopka Residence (3 встречи), СЗ Престиж строй/ ЖК 5 Элементов, Талан-Владивосток - </t>
    </r>
    <r>
      <rPr>
        <rFont val="Arial"/>
        <b/>
        <color theme="1"/>
        <sz val="12.0"/>
      </rPr>
      <t>всего 6</t>
    </r>
  </si>
  <si>
    <r>
      <rPr>
        <rFont val="Arial"/>
        <color theme="1"/>
        <sz val="12.0"/>
      </rPr>
      <t xml:space="preserve"> -</t>
    </r>
    <r>
      <rPr>
        <rFont val="Arial"/>
        <b/>
        <color theme="1"/>
        <sz val="12.0"/>
      </rPr>
      <t xml:space="preserve"> всего: </t>
    </r>
    <r>
      <rPr>
        <rFont val="Arial"/>
        <color theme="1"/>
        <sz val="12.0"/>
      </rPr>
      <t xml:space="preserve">Магаданэнерго, Русский краб, ДЭК, Винлаб - </t>
    </r>
    <r>
      <rPr>
        <rFont val="Arial"/>
        <b/>
        <color theme="1"/>
        <sz val="12.0"/>
      </rPr>
      <t>всего 4</t>
    </r>
  </si>
  <si>
    <r>
      <rPr>
        <rFont val="Arial"/>
        <color theme="1"/>
        <sz val="12.0"/>
      </rPr>
      <t xml:space="preserve"> - </t>
    </r>
    <r>
      <rPr>
        <rFont val="Arial"/>
        <b/>
        <color theme="1"/>
        <sz val="12.0"/>
      </rPr>
      <t xml:space="preserve">всего: </t>
    </r>
    <r>
      <rPr>
        <rFont val="Arial"/>
        <color theme="1"/>
        <sz val="12.0"/>
      </rPr>
      <t>Инвитро - всего 1</t>
    </r>
  </si>
  <si>
    <t>по базе 45 строчек</t>
  </si>
  <si>
    <t>План встреч на ИЮНЬ</t>
  </si>
  <si>
    <t>НИКО&amp;КА - юбилей 11 июня</t>
  </si>
  <si>
    <t>Рассылка КП по размещению в ЖК</t>
  </si>
  <si>
    <t>ЗАМЕТНЫЙ - нестандартные проекты в наружке</t>
  </si>
  <si>
    <r>
      <rPr>
        <rFont val="Arial"/>
        <b/>
        <color rgb="FFFF0000"/>
        <sz val="12.0"/>
      </rPr>
      <t xml:space="preserve">Ратимир/с участитем Тименчук, Ярич, Матлак - давайте уже дожмем этот вопрос в мае:) второй месяц переносим. </t>
    </r>
    <r>
      <rPr>
        <rFont val="Arial"/>
        <b/>
        <color rgb="FF4285F4"/>
        <sz val="12.0"/>
      </rPr>
      <t>14 апреля я отправила письмо на Ольгу Ариэль (мар/дир), ОС нет. Может попробовать встречу назначить через Печенкину?</t>
    </r>
  </si>
  <si>
    <t>DNS Ритейл - отправила Насте более понятный запрос, ищем контакты, готовим заход на встречу</t>
  </si>
  <si>
    <t>Алмазэргиэнбанк</t>
  </si>
  <si>
    <t>Джордж Групп и другие мед центры - анализ, подбор "захода к клиенту", поиск контактов</t>
  </si>
  <si>
    <t>ЖК Пять Элементов - встречи с Богомаз Зоей алексеевной на объекте и с маркетологом Екатериной Даниловой в офисе</t>
  </si>
  <si>
    <t>RODINA HOTEL GROUP - подтвержение проекта по стратегии</t>
  </si>
  <si>
    <t>DNS City - отправила Насте более понятный запрос,, ищем контакты, готовим заход на встречу</t>
  </si>
  <si>
    <t>Местный Хуторок - получение обратной связи по Видению</t>
  </si>
  <si>
    <t>МИРА-встреча-продажа SMM</t>
  </si>
  <si>
    <t>Здравсити - выход на встречу</t>
  </si>
  <si>
    <t>расылка КП по размещению в ЖК</t>
  </si>
  <si>
    <t>ВМРП&amp;НБАМР - SMM c БОЛТОМ</t>
  </si>
  <si>
    <t>Plastec - выход на встречу</t>
  </si>
  <si>
    <t>ТАЛАН-Владивосток-ОТКАЗ</t>
  </si>
  <si>
    <t>ТАЛАН - МОПы, навигация - СЬЕЗД</t>
  </si>
  <si>
    <t>ВМРП - контракт по SMM</t>
  </si>
  <si>
    <t>ФСК (если зайдет КП, надеюсь на созвон)</t>
  </si>
  <si>
    <t>НБАМР - контракт по SMM</t>
  </si>
  <si>
    <t>Снова перенос встречи из-за болезни клиента. 9.06 буду звонить и уточнять, планируем ли встречу 11.06</t>
  </si>
  <si>
    <t>2.06 состоялась презентация виадука и подземного перехода для владельца и гендира</t>
  </si>
  <si>
    <t>по подземному переходу на проектировку опоздали, по виадуку еще есть шансы. По "вползанию" в клиента все не просто, нужна длительная планомерная работа</t>
  </si>
  <si>
    <t>Потапенко/Якименко/Бунтуш</t>
  </si>
  <si>
    <t xml:space="preserve">подготовлен митинг репорт по первой встрече, ОС от маркетинг-директора по сути не было, криво отмазался </t>
  </si>
  <si>
    <t>проект брендинга и полевого мониторинга</t>
  </si>
  <si>
    <t>Новый проект поставлен на паузу до сентября-октября. Пытаемся продать отдельно полевой аудит</t>
  </si>
  <si>
    <t>когда будет подтверждение проекта, готовим КП и договор</t>
  </si>
  <si>
    <t>презентовали Видение проекта</t>
  </si>
  <si>
    <t>июнь</t>
  </si>
  <si>
    <t>ждем встречу в офисе</t>
  </si>
  <si>
    <t>Клиент ушел со связи. Ожидаю
ответа на запрос о встрече.</t>
  </si>
  <si>
    <t>подготовлен экспресс-анализ рынка</t>
  </si>
  <si>
    <t xml:space="preserve">после 3-х проведенных встреч ждем ОС по диджитал и китайскому направлению, получил ОС, что стоимость показалось высокой, скорректировали КП, отправили, ждем ОС </t>
  </si>
  <si>
    <t>Готовим также КП по оффлайн. Предварительно 2.06 завершим подготовку КП и отправим Ивану.</t>
  </si>
  <si>
    <t>отправлены КП Хайнань, China-friendly, плюс КП контекст и SMM</t>
  </si>
  <si>
    <t>Привлечение арендаторов купола для мероприятий</t>
  </si>
  <si>
    <t>Отправила Ивану 2 КП 3-5.06 : по привлечению арендаторов геокупола и просчет размещения оффлайн в крупных городах ДФО + сувенирка. Жду о.с.</t>
  </si>
  <si>
    <t>Для привлечения арендаторов купола надо сделать специальное деловое мероприятие для агентств, специализирующихся на ивентах. У меня есть понимание, как это делается на практике. ПКГ</t>
  </si>
  <si>
    <t>контрактация с УК Аура Девелопмент; 4.06 отправила клиенту условия размещения по пакетам Аура 1 и 3. На согласовании у руководства</t>
  </si>
  <si>
    <t>Наружка Уссурийск</t>
  </si>
  <si>
    <t>июль</t>
  </si>
  <si>
    <t>Подтвердили один экран. Доки и ролик на согласовании</t>
  </si>
  <si>
    <t>Отправлена АП, подтвержден 1 экран</t>
  </si>
  <si>
    <t>Ждем ОС по КП, 01.06 клиент сообщила, что утрясут еще пару моментов и напишут мне</t>
  </si>
  <si>
    <t>Винлаб - уточнить статусы по всем проектам</t>
  </si>
  <si>
    <t>Участие Винлаб в данном мероприятии под вопросом, т.к. площадка требует 100% предоплаты, а Винлаб согласен только ан 100% постоплату. Если площадка не пойдет Винлабу навстречу, то отмена</t>
  </si>
  <si>
    <t>Решили в этом году использовать старую фотозону с полной реконструкцией, а в следующем году разработать новую фотозону, допускающую многоразовое использование.</t>
  </si>
  <si>
    <t>отправлено КП - отказ.</t>
  </si>
  <si>
    <t>навигация Уссурийск (усановка указателя)</t>
  </si>
  <si>
    <t>Установка указателя планируетеся на неделе 08-11.06</t>
  </si>
  <si>
    <t>Монтаж баннеров Сибирцево</t>
  </si>
  <si>
    <t>Произведен выезд на осмотр обеих конструкций, 01.06 отправила клиенту смету по замене баннеров, смета согласована работы запланирвоаны на неделю 8-11.06</t>
  </si>
  <si>
    <t>Тендер на новогоднее оформление</t>
  </si>
  <si>
    <t>Считаем тендер по 2-ум лотам: наклейки+топперы пов сем магазинам на ДВ к новому году, оформление флагманского магазина на Народном.</t>
  </si>
  <si>
    <t>срок подачи до 10.06</t>
  </si>
  <si>
    <t>Поставлена задача ПО, проведен созвон с московским организатором тендера по вопросам</t>
  </si>
  <si>
    <t>Замена надписей на дорожных знаках во Владивостоке</t>
  </si>
  <si>
    <t>Запросила у поставщика по установке и согласованию знаков информацию</t>
  </si>
  <si>
    <t>Непонятно, можно ли разместить надпись "супермаркет напитков" или только "магазин"</t>
  </si>
  <si>
    <t>Замена полотна на виндере в Артеме</t>
  </si>
  <si>
    <t>Согласовано, жду дату выезда от поставщика, готовлю документы</t>
  </si>
  <si>
    <t>Отправлена заявка ПО на просчет.</t>
  </si>
  <si>
    <t>производственные проекты</t>
  </si>
  <si>
    <t>отправлены 5 КП,переданы образцы материалов для изготовления интерьерной вывески. Предварительно согласована часть сметы по беребрендирвоанию транспорта. 08-09.06 - выезд на замеры и осмотр машин. перманенто осуществляем небольшие производственные заказы</t>
  </si>
  <si>
    <t>посчитаны сметы. Пока поставили им в этом месяце наклейки, бейджи, листовки.</t>
  </si>
  <si>
    <t>запланирована встреча на 03.06</t>
  </si>
  <si>
    <t>продажа смм</t>
  </si>
  <si>
    <t>подготовлено альтернативное КП</t>
  </si>
  <si>
    <t>не согласовано, отказ</t>
  </si>
  <si>
    <t>СЗ Престиж строй/ ЖК Пять Элементов</t>
  </si>
  <si>
    <t xml:space="preserve">Встреча с маркетологом состоялась. В части размещения рекламы они размещаются напрямую, и сейчас им сокращают бюджет. Встреча с директором по строительству Богомаз Зоей Алексеевной 11.06 в 9.00 утра на объекте. </t>
  </si>
  <si>
    <t>отправлено базовое КП для ЖК, познакомились на презентации для агентов, состоялась встреча с маркетологом</t>
  </si>
  <si>
    <t>подтвержден небольшой объём сувенирной продукции, согласовываем документы</t>
  </si>
  <si>
    <t xml:space="preserve">в пятницу 29.05 клиент направил письмо - подтверждение запуска.
Договор на выполнение работ по брендированию забора клиент запустил на внутренне согласование.
Ждём гарантийное письмо
</t>
  </si>
  <si>
    <t>пришел внезапный отказ на митинг репорт, в знак благодарности( отправили им идеи по спец мероприятиям с агенстким каналом, они даже спасибо не написали</t>
  </si>
  <si>
    <t>отправлено базовое КП, митинг репорт</t>
  </si>
  <si>
    <t>ФСК-Регион</t>
  </si>
  <si>
    <t>Проведена штурмовка, на основе нее подготовила презентацию, отправила клиенту 2.06. О.с. пока не получила. 9.06, если не ответят буду звонить. Также сразу хочу предложить наши услуги по оформлению выставочного стенда на выставку застройщиков в октябре</t>
  </si>
  <si>
    <t>Запросила у них контакт ответственного за это направление, пока тишина.</t>
  </si>
  <si>
    <t>согласование прайс-листа, готовимся к контракту</t>
  </si>
  <si>
    <t>ждем результатов тендера</t>
  </si>
  <si>
    <t>смета согласована, ожидаю список машин под брендинг</t>
  </si>
  <si>
    <t>с запросом обратился ген директор Михаил Орленко</t>
  </si>
  <si>
    <t>ждем ОС на КП</t>
  </si>
  <si>
    <t>КП беджи</t>
  </si>
  <si>
    <t>направлено КП, ожидаем ОС
Наш контакт передан управляющей компании</t>
  </si>
  <si>
    <t>согласовано изготовление и монтаж 
РИМ на демо-этаже, готовим КП 
полностью на навигацию ЖК</t>
  </si>
  <si>
    <t>жду выхода на связь ЛПР и определение даты созвона/ встречи</t>
  </si>
  <si>
    <t>пробуем разблокировать их аккаунт и переводим аккаунт в статус официального, далее пытается проапсейлить по ведению Сяохуншу, размещению на Gaode и DianPing</t>
  </si>
  <si>
    <t>также в конце 2026 года их партнеры открывают большой стрелковый комплекс рядом с Tigre de crystal, предложил сотрудничество, если такая помощь понадобится, на данный момент в приоритете привести старый аккаунт в функционирующий вид</t>
  </si>
  <si>
    <t>направлено КП, 03.06</t>
  </si>
  <si>
    <t>отправлено КП, ожидаем тендер</t>
  </si>
  <si>
    <t>ВМРП&amp;НБАМР</t>
  </si>
  <si>
    <t>встреча 1.06 в 14.00</t>
  </si>
  <si>
    <t>пока получили контракт на ВМРП, по НБАМРу ждем решения</t>
  </si>
  <si>
    <t>сделан прогрев клиента на китайской теме</t>
  </si>
  <si>
    <t>КП согласовано, подготовила доп.соглашения, отправила клиенту на согласование, ждем контрактации, чтобы приступить к работе</t>
  </si>
  <si>
    <t>Дайвинг центр "Море воды"</t>
  </si>
  <si>
    <t>Разработка нестандартных настенных часов в фир стиле заказчика</t>
  </si>
  <si>
    <t>Нарисовала несколько эскизов в ИИ, заказчик выбрал 2 варианта, на просчете в ПО</t>
  </si>
  <si>
    <t>Гарантийный центр Мой бизнес</t>
  </si>
  <si>
    <t>Нарисованы и согласованы эскизы, отправлено на просчет в ПО</t>
  </si>
  <si>
    <t>КП  размещение Хабаровск</t>
  </si>
  <si>
    <t>направлено КП 03.06</t>
  </si>
  <si>
    <t>КП размещение в каналах max</t>
  </si>
  <si>
    <t>направлено КП 04.06</t>
  </si>
  <si>
    <t>РодСтор</t>
  </si>
  <si>
    <t>покупка одного билборда до конца года (с июля)</t>
  </si>
  <si>
    <t>ДНС Сити/ДНС Девелопмент</t>
  </si>
  <si>
    <t>КП по оформлению стенда на выставку застройщиков</t>
  </si>
  <si>
    <t>Планирую уточнить у клиента, будут ли участвовать 8-9 .06</t>
  </si>
  <si>
    <t>Целевой клиент Якименко+Матлак</t>
  </si>
  <si>
    <t>Готово КП (Ира)</t>
  </si>
  <si>
    <t>Агроторг</t>
  </si>
  <si>
    <t>КП такси Хабаровск</t>
  </si>
  <si>
    <t>на рассмотрении у клиента</t>
  </si>
  <si>
    <t>Стоматология профессора 
Русаковой/Ортодент-Р</t>
  </si>
  <si>
    <t>встреча</t>
  </si>
  <si>
    <t>встреча с маркетологом по перспективам сотрудничества</t>
  </si>
  <si>
    <t>пока бюджета на РК нет, на будущее имеют нас в ввиду</t>
  </si>
  <si>
    <t>встреча с маркетологом, пока нет бюджета на РК</t>
  </si>
  <si>
    <t>УК Многофункциональный дом</t>
  </si>
  <si>
    <t>КП информационные стенды</t>
  </si>
  <si>
    <t>направлено КП 09.06, на рассмотрении у руководства</t>
  </si>
  <si>
    <t>Доброе Дело</t>
  </si>
  <si>
    <t>АП Владивосток и Хабаровск на октябрь-ноябрь</t>
  </si>
  <si>
    <t>ожидаю АП от ОНР</t>
  </si>
  <si>
    <t>Справедливая Россия</t>
  </si>
  <si>
    <t>АП Приморский край июль-сентябрь</t>
  </si>
  <si>
    <t>АП направлено клиенту на согласование</t>
  </si>
  <si>
    <t>Бунтуш  - запрос от Зайцевой Юли</t>
  </si>
  <si>
    <t>https://docs.google.com/spreadsheets/d/1hSp5Tsu_prhwDl1L1otNpdFwRdP7vki3FCZTV55F5vI/edit?gid=0#gid=0</t>
  </si>
  <si>
    <t>819494,5</t>
  </si>
  <si>
    <t>ЦЕЛЕВЫЕ КЛИЕНТЫ</t>
  </si>
  <si>
    <t>ВП 2025</t>
  </si>
  <si>
    <t>Цель/Прогноз на 2026</t>
  </si>
  <si>
    <t>Риски</t>
  </si>
  <si>
    <t>Возможности для апсейла</t>
  </si>
  <si>
    <t>Задачи маркетолога</t>
  </si>
  <si>
    <t xml:space="preserve">Задачи клиентского менеджера </t>
  </si>
  <si>
    <t>Клиентский менеджер</t>
  </si>
  <si>
    <t>Текущий статус / комментарии</t>
  </si>
  <si>
    <t>МАТЛАК 2025</t>
  </si>
  <si>
    <t>МАТЛАК 2026</t>
  </si>
  <si>
    <t>ГОЛУБЕВА 2025</t>
  </si>
  <si>
    <t>ГОЛУБЕВА 2026</t>
  </si>
  <si>
    <t>ЯКИМЕНКО 2025</t>
  </si>
  <si>
    <t>ЯКИМЕНКО 2026</t>
  </si>
  <si>
    <t>КЛЕМЕНЧУК 2025</t>
  </si>
  <si>
    <t>КЛЕМЕНЧУК 2026</t>
  </si>
  <si>
    <t>ЖИДКИХ 2025</t>
  </si>
  <si>
    <t>ЖИДКИХ 2026</t>
  </si>
  <si>
    <t>ГКС 2025</t>
  </si>
  <si>
    <t>ГКС 2026</t>
  </si>
  <si>
    <t>DNS Development</t>
  </si>
  <si>
    <t>По ДНС Девелопмент - Анастасия Базарнова крайне нестабильно  выходит на связь, у нее есть страх показать, что она нас лоббирует, и она пытается работать и с другими подрядчиками. Часто встречи срываются, из-за ее загруженности. У прочих малых подразделений ДНС (Академия развития, ДСК) - совсем крохотные бюджеты.
Доля наружки ДНС СИТИ 599 370 руб. на 2026 год. Из 6 сторон сняли 3 с февраля. Остальные 3 стороны взяты до конца года,поэтому прогноз реальный на данный момент.</t>
  </si>
  <si>
    <t>Проект оформления вывесками прочих домов в ДНС Сити, установка рекламных конструкций, навигации на объекте.</t>
  </si>
  <si>
    <t>Минимизировать риск потери клиента из-за нестабильности одного контактного лица. Хорошо было бы выстроить контакты с кем-то еще, кто принимает решение о выборе подрядчиков.</t>
  </si>
  <si>
    <t>Якименко, Матлак</t>
  </si>
  <si>
    <t xml:space="preserve">АВ должен договориться об общении с Базарновой по планам. </t>
  </si>
  <si>
    <t>18.02 отправили им КП по световым коробам, ждем О.С. Также АВ ведет коммуникацию по установке рекламной конструкции для Штыковских дверей</t>
  </si>
  <si>
    <t>NOVABEV/Винлаб</t>
  </si>
  <si>
    <t>Не слишком заинтересованы в развитии в части рекламы, трудно подобрать рекламные площадки учитывая сущестующие ограничения по рекламе алкоголя</t>
  </si>
  <si>
    <t>Подумать о том, в каких мероприятиях можно предложить участие, может какие-то промоактивности.</t>
  </si>
  <si>
    <t>1. Найти «разрешённые точки роста» в категории алкоголя
2. сформировать 2–3 продуктовых пакета (например: «мероприятие + офлайн + контент»)
3. Подготовить аргументацию для клиента с цифрами (кейсы, гипотезы, прогноз)</t>
  </si>
  <si>
    <t>1. Повысить вовлечённость клиента в развитие через аргументированное КП (см. задачи маркетолога). 
2. Выявить реальные стоп-факторы у клиента в личном общении. Может нежелание развиваться связано с внутренними ограничениями в компании. А может клиент просто не видит легальных реалистичных способов продвижения. Работать с реальной причиной низкой активности.
3. Раз в 2 месяца стабильно предлагать решения, разработанные совсместно с маркетологом, с учетом реальных стопоров клиента и с обоснованиями (см. пункт 1)</t>
  </si>
  <si>
    <t>Пыталась договориться о встрече в конце марта, клиент ответил отказом, что нечего обсуждать.</t>
  </si>
  <si>
    <t>Отель менеджмент</t>
  </si>
  <si>
    <t>Политика УК (навязывают местным своих подрядчиков), любят все делать за бартер</t>
  </si>
  <si>
    <t>Входящий запрос от них в мультимедийной системе аэрофлот, таргетированной SMS рассылке.
Низкая посещаемость Rodina. Поиск новых идей для усиления прсиутствия брендов.</t>
  </si>
  <si>
    <t>Провести анализ рекламной активности конкурентов, политику продвижения сети отелей в других регионах. Попытаться выявить эффективные пути продвижения для RRV</t>
  </si>
  <si>
    <t>Прощупать ситуацию, понять, что происходит в компании.</t>
  </si>
  <si>
    <t>25.02 в 15.00 состоялась встреча, обсудили текущие дела. Конрактуемся по таргетированной SMS-рассылке пока. Отправила КП по China Frendly 12.03</t>
  </si>
  <si>
    <t>Матвеевская</t>
  </si>
  <si>
    <t xml:space="preserve">пока вернулись к управлению брендинга и разработке дизайна инхауз, </t>
  </si>
  <si>
    <t>Тименчук, Жидких</t>
  </si>
  <si>
    <t>на 02.03.2026: взяли паузу по развитию сети/бренда. Общее падение на рынке - пробуют развивать новые направления (общепит/обеды для крупных предприятий)</t>
  </si>
  <si>
    <t>30.01 направлено наше предложение по дизайну упаковки = 240 000 руб. 
Пока на паузе</t>
  </si>
  <si>
    <t>Ратимир</t>
  </si>
  <si>
    <t>Клиент сильно сокращает наружное размещение.
Приходят запросы от московского агентства на наружку для Ратимира.
Прогноз сформирован исходя из текущих потерь на начало года.</t>
  </si>
  <si>
    <t>14.04.2026 Отправлено письм-запрос на встречу с мар/дир (Тименчук). ОС нет никакой</t>
  </si>
  <si>
    <t>Хаотичное размещение, клиент сам не может спрогнозировать какой бюджет даст управление.
Прогноз взят по усреднённому значению.</t>
  </si>
  <si>
    <t>Вижу размещение по Вл напрямую.
Попробую предложить размещение через нас.</t>
  </si>
  <si>
    <t>КФС</t>
  </si>
  <si>
    <t>Предположительная ВП, клиент непрогнозируемый с точки зрения системного размещения.
Закупают размещение в лифтах в период набора персонала</t>
  </si>
  <si>
    <t>Домотехника</t>
  </si>
  <si>
    <t>Не могу спрогнозировать, клиент в процессе закрытия бизнеса.
Мы не конкурентны для него.обращаются за быстрой печатью.</t>
  </si>
  <si>
    <t>ЖК Футурист</t>
  </si>
  <si>
    <t>Запрос КП на навигация в ЖК Архитектор направят нам в августе 2026г.</t>
  </si>
  <si>
    <t>общаюсь не с маркетолагами, а со строителями, 
задачи у них появляются для нас только после 
сдачи в эксплуатацию домов</t>
  </si>
  <si>
    <t xml:space="preserve">Планирую встретиться 
ориентировочно 20 либо 24.02, 
Пообщаться и поздравить 
главного инженера с 23 февраля </t>
  </si>
  <si>
    <t>Тендерное размещение. Окончание подачи заявок на тендер - 13.02, подведение итогов  -20.02. По словам клиента много желающих податься. Перенесли подведение итогов на 11.03</t>
  </si>
  <si>
    <t>НИКО&amp;КА</t>
  </si>
  <si>
    <t>Пятёрочка</t>
  </si>
  <si>
    <t>Указана ВП без НДС/ возможно сокращение бюджета с апреля по HR, так же произошло сокращение бюджета у маркетинга</t>
  </si>
  <si>
    <t>Ира встретилась с Ольгой/ будем просчитывать проект</t>
  </si>
  <si>
    <t>RODSTOR Group</t>
  </si>
  <si>
    <t>предположительная ВП, при условии рекламной компании 2 раза втечении года</t>
  </si>
  <si>
    <t>организовать встречу с Болтом, продвигать ТГ каналы</t>
  </si>
  <si>
    <t>Ожидаем ответ от клиента на счет встречи</t>
  </si>
  <si>
    <t>Наружную рекламу размещают напрямую,  событийные проекты через нас дорого, по производству не конкурентны. Обращаются когда нужно срочно произвести оплату подрядчику</t>
  </si>
  <si>
    <t>Работаем по производству</t>
  </si>
  <si>
    <t>Итого</t>
  </si>
  <si>
    <t>проверка</t>
  </si>
  <si>
    <t>средний чек</t>
  </si>
  <si>
    <t>План/факт ЦЕЛЕВЫЕ 2026</t>
  </si>
  <si>
    <t>НЕЦЕЛЕВЫЕ КЛИЕНТЫ</t>
  </si>
  <si>
    <t>Цель / Прогноз на 2026</t>
  </si>
  <si>
    <t>РЕМИ/ЛЕНТА</t>
  </si>
  <si>
    <t>Реальный прогноз,т.к. подписано годовое размещение</t>
  </si>
  <si>
    <t xml:space="preserve"> В декабре 2025 года федеральный ритейлер «Лента» приобрел контрольную долю (67%) в ГК «Реми», что позволило федеральной сети выйти на дальневосточный рынок, а нам соответственно рассматривать уже выход на федерального клиента</t>
  </si>
  <si>
    <t>Выяснить стратегию выхода ЛЕНТЫ на наш рынок, планируют ли ребрендинг, как и когда</t>
  </si>
  <si>
    <t>Встретиться с клиентом, узнать, что меняется в маркетинге с новой УК, предложить нас, как подрядчика с опытом работы с федеральными компаниями</t>
  </si>
  <si>
    <t>Как РЕМИ это нецелевой клиент, но как ЛЕНТА - в виш-листе</t>
  </si>
  <si>
    <t>Бубль Гум</t>
  </si>
  <si>
    <t>с ноября 2025 произошло сокращение бюджета. уволили отдел маркетинга. КГ направил предложение от Болта Михайлюку, ответа нет</t>
  </si>
  <si>
    <t xml:space="preserve"> не видим возможности для развития в части ДВРегиона</t>
  </si>
  <si>
    <t>Матлак/Тименчук</t>
  </si>
  <si>
    <t>Сталепромышленная компания</t>
  </si>
  <si>
    <t>компания-банкрот, вычеркиваем</t>
  </si>
  <si>
    <t>маркетинговые бюджеты в Москве, неадекватная тендерная политика</t>
  </si>
  <si>
    <t>трейд-маркетинг (производство), HR маркетинг, событийный маркетинг, локальный PR, федеральные тендеры</t>
  </si>
  <si>
    <t>утеплять отношения с отделом трейд-маркетинга и менеджером АХЧ, поддерживать отношения с директором по маркетингу Анной Сергеевной</t>
  </si>
  <si>
    <t>проведена утепляющая встреча на 24.02 на Енисейской в 15.00, отправляем презентации по навигации, PR, производству, ищем возможности выхолда оа макро-офис в Иркустске</t>
  </si>
  <si>
    <t>Установочная встреча, отправлены КП</t>
  </si>
  <si>
    <t>ДОМ РФ</t>
  </si>
  <si>
    <t xml:space="preserve">планируется тендер на летние мероприятия. Клиенту очень понравилось работать 
в прошлом году с нами, хотели бы и в этом году сотрудничать </t>
  </si>
  <si>
    <t>Всё достаточно бюрократично, через тендеры. 
В прошлом году Александр интересовался продвижением
 на китайский рынок, общался с Кириллом Геннадьевичом, 
общение ничем не закончилось. Тендер проиграли</t>
  </si>
  <si>
    <t>постоянное общение с менеджером клиента в мессенджерах 
без относительно тендеров</t>
  </si>
  <si>
    <t>Транснефть Восток</t>
  </si>
  <si>
    <t>выиграли тендер на два года</t>
  </si>
  <si>
    <t>Рус Кор</t>
  </si>
  <si>
    <t>Клиент перестал выходить на связь. Застрял на этапе регистрации товарного знака. Не проявляет инициативы по дальнейшим действиям.</t>
  </si>
  <si>
    <t>Мы только сделали фир стиль, но если продукт (маски, косметика) все же будет запускаться, нужто сделать, как минимум макет упаковки и предложить базовый пакет по продвижению.</t>
  </si>
  <si>
    <t>Поддерживать связь с клиентом периодически, держать руку на пульсе.</t>
  </si>
  <si>
    <t>Последний раз звонила в декабре, клиент сказал, что все подвисло, а у него проблемы со здоровьем и не до того. В марте планирую повторный звонок.</t>
  </si>
  <si>
    <t>Базовый фирменный стиль, нейминг</t>
  </si>
  <si>
    <t>ВМТП</t>
  </si>
  <si>
    <t>много подрядчиков, которые работают с ВМТП, предлагая цены ниже, чем мы</t>
  </si>
  <si>
    <t>Возможностей достаточно много: производство, сувенирная 
продукция, проведение мероприятий, изготовление 
полиграфической продукции, но необходимы конкурентные цены</t>
  </si>
  <si>
    <t>Общаюсь с менеджером отдела развития бренда.
Познакомиться с руководителем отдела 
(предыдущий руководитель, с которым была знакома, уволилась).
Найти возможные точки соприкосновения.</t>
  </si>
  <si>
    <t>надо разбираться с этим клиентом, включить в групповые продажи с Болтом</t>
  </si>
  <si>
    <t>составить экспресс-справку по их ЖК и маркетинговым активностям, посмотреть, есть ли SMM</t>
  </si>
  <si>
    <t>провести рабочую встречу с Ярич, Тедеевым, Потапенко</t>
  </si>
  <si>
    <t>назначить внутреннюю встерчу после 8 марта</t>
  </si>
  <si>
    <t>Скорее всего уже есть свои подрядчики, наработана своя база. Бренд известен и как будто не нуждается в широком освещении.</t>
  </si>
  <si>
    <t>Есть небольшой опыт работы в прошлом году по размещению рекламы в автобусах. Это было короткое но теплое сотрудничество, можно попытаться предложить более широкий спектр услуг.</t>
  </si>
  <si>
    <t xml:space="preserve">Проанализировать рекламную активность, может, есть какие-то боли. Как минимум можно зацепиться за тот же HR, есть ли у них потребности в раскрутке этого направления. </t>
  </si>
  <si>
    <t>Связаться с менеджером, с которым работала, предложить встречу. Подготвоить план для самопрезентации группы компаний.</t>
  </si>
  <si>
    <t>Предварительно назначена встреча на 16-20.03</t>
  </si>
  <si>
    <t>Уже делала их маркетологу несколько КП, всякий раз ответ один: нет бюджета на это.</t>
  </si>
  <si>
    <t>Есть связь на верхнем уровне. Проявляли интерес в прошлом году к вопросу сотрудничества с китайскими блогерами</t>
  </si>
  <si>
    <t>Организовать рабочую встречу с Иваном и Потапенко К.Г., обсудить возможности</t>
  </si>
  <si>
    <t>Чтобы назначить встречу, мне нужно понять, что именно мы предлагаем, давайте обсудим 10.03</t>
  </si>
  <si>
    <t>У них политика по максимуму все делать не через агентство.</t>
  </si>
  <si>
    <t>Каждый год в сезон смены резины берут наружку через нас в удаленных/труднодоступных городах. Можно сформировать им предложения</t>
  </si>
  <si>
    <t>Посмотреть сезонность по предыдущим размещениям+ГЕО. Зафиксировать себе задачу подготовить к началу следующего сезона серию АП + возможно пункты ПВЗ предложить</t>
  </si>
  <si>
    <t>С прошлого года передала их Вике Ж. Буду курировать</t>
  </si>
  <si>
    <t>Готовим АП, чтобы предложить под сезонные акции</t>
  </si>
  <si>
    <t>Сокращение рекламных бюджетов</t>
  </si>
  <si>
    <t>Написать клиенту, узнать как дела, подумать с каким предложением можно выйти, создать рабочую встречу с БОЛТом</t>
  </si>
  <si>
    <t>Шатура мебель</t>
  </si>
  <si>
    <t>Примамедиа</t>
  </si>
  <si>
    <t>Обращаются редко, по небольшим производственным задачам. Не уверенна, что у них вообще есть маркетинг.</t>
  </si>
  <si>
    <t>Отсутствие маркетинга. Возможно, он им нужен.</t>
  </si>
  <si>
    <t>Написать клиенту, что с ранее просчитанными сметами, которые давно на согласовании, попытаться в разговоре выяснить, есть ли другие задачи по нашему профилю.</t>
  </si>
  <si>
    <t>Планируем замену баннеров на фасадах</t>
  </si>
  <si>
    <t>ЭКСПОЛЕС</t>
  </si>
  <si>
    <t>В прошлом все стремились делать сами</t>
  </si>
  <si>
    <t>Маркетолог, который с недавнего времени у них работает, ранее работала с Якименко в Банке Приморье, также пересекались на свадебном фестивале (работала в ангаре Эдвин групп), подруга Турейской, сама вышла на нас, но с мелкими заказами. Можно использовать теплый контакт + там сменился руководитель по маркетингу</t>
  </si>
  <si>
    <t>Проанализировать текущую рекламную активность, какие нововведения произошли в деятельности компании за последний год.</t>
  </si>
  <si>
    <t>Познакомиться с руководителем, выйти на апсейл на основе аналитики</t>
  </si>
  <si>
    <t>Предложила встречу менеджеру, с которым работаю, она сказала, что надо проводить с руководителем, жду о.с. от ее руководства.</t>
  </si>
  <si>
    <t>Встреча 13.03</t>
  </si>
  <si>
    <t>Стоматология Мастер</t>
  </si>
  <si>
    <t>клиент может тормозить и долго думать</t>
  </si>
  <si>
    <t>проведение РК, производство дорожных указателей, диджитал, продвижение сайта</t>
  </si>
  <si>
    <t>был контакт с Родионом 4.02, пока не готовы ко встрече, но обсуждаают маркетинг пока внутри коллектива</t>
  </si>
  <si>
    <t>Уссурийский ЛРЗ</t>
  </si>
  <si>
    <t>Ортодент Р</t>
  </si>
  <si>
    <t>План/факт НЕЦЕЛЕВЫЕ 2026</t>
  </si>
  <si>
    <t>План/факт ОБЩИЕ 2026</t>
  </si>
  <si>
    <t>Цель НОВЫЕ 2026</t>
  </si>
  <si>
    <t>ГКС</t>
  </si>
  <si>
    <t>Column 2</t>
  </si>
  <si>
    <t>История/статус/причны расходв</t>
  </si>
  <si>
    <t>Задача, которую надо решить</t>
  </si>
  <si>
    <t>Column 6</t>
  </si>
  <si>
    <t>Column 7</t>
  </si>
  <si>
    <t>Column 8</t>
  </si>
  <si>
    <t>Column 9</t>
  </si>
  <si>
    <t>Column 10</t>
  </si>
  <si>
    <t>Потенциал на 2026</t>
  </si>
  <si>
    <t>Статус прекращения взаимодействия</t>
  </si>
  <si>
    <t>Возможности</t>
  </si>
  <si>
    <t>Асклепий</t>
  </si>
  <si>
    <t>Был разовый заказ, взаимодействия больше не было. Напечатали баннер для Х-стойки, приняли без нареканий и все.</t>
  </si>
  <si>
    <t>найти контакты маркетологов:
E-mail: ask-market@askl-dv.ru</t>
  </si>
  <si>
    <t>Маркетолог со стороны клиента предпочитает работать самостоятельно, обращается к нам только с теми задачами, которые ей по каким-то причинам осуществить сложно. И с маленькими бюджетами.</t>
  </si>
  <si>
    <t xml:space="preserve">Входящий запрос от клиента по возможностям размещения рекламы в новых ЖК. </t>
  </si>
  <si>
    <t>Встретиться с клиентом, провести диагностику текущей ситуации и задач.</t>
  </si>
  <si>
    <t>Прорабатываю задачу от клиента. Ближайшую неделю вместе поедем в ЖК Футурист смотреть поверхности для рекламы, в параллели планирую пообщаться по другим возможным задачам.</t>
  </si>
  <si>
    <t>Проведена встреча с клиентом и представителем УК. Сейчас ведем контрактацию по размещению в ЖК.</t>
  </si>
  <si>
    <t>Самолет</t>
  </si>
  <si>
    <t>согласовать с Мишустиным кредит на 50 млрд:)</t>
  </si>
  <si>
    <t>Роснефть</t>
  </si>
  <si>
    <t>Обсуждения по всем проектам, над которыми работали (детская призовая поездка, 
большое путешествие по Китаю) отложилось до апреля</t>
  </si>
  <si>
    <t>Если речь о местном ростелекоме, а не через агентство, то мы разово разместили их рекламу на сайтах. После этого они обратились рассчитать посты в соц сетях, но наши цены их не устроили.</t>
  </si>
  <si>
    <t>Выяснить, есть ли у них бюджет на рекламу на местном уровне.</t>
  </si>
  <si>
    <t>Постараться войти в контакт с одним или более подразделений.</t>
  </si>
  <si>
    <t>Думаю, что здесь неуместны агрессивные заходы. Сделала все, что смогла на данный момент, пока ждем.</t>
  </si>
  <si>
    <t>Списалась со своим контактом в Ростелекоме, знакомая работает маркетологом но по наружке. Отправила ей ссылку на сайт и презентации наши, она отправила их по подразделениям.</t>
  </si>
  <si>
    <t>Сбербанк</t>
  </si>
  <si>
    <t>Хабаровск</t>
  </si>
  <si>
    <t>Отказались участвовать в тендере на производства, чтобы не брать на себя риски из-за плохо составленного ТЗ с заниженными ценами.  Это что касается Владивостока, сейчас с ними работает Хабаровск</t>
  </si>
  <si>
    <t>Банк Приморье</t>
  </si>
  <si>
    <r>
      <rPr>
        <rFont val="Roboto"/>
        <color rgb="FF000000"/>
      </rPr>
      <t xml:space="preserve">Просто сняли рекламу. </t>
    </r>
    <r>
      <rPr>
        <rFont val="Roboto"/>
        <color rgb="FF000000"/>
      </rPr>
      <t xml:space="preserve">Часть поверхностей размещали на прямую. Нужно вспомнить кто работал с данным клиентом, попробовать написать и напомнить о нас. </t>
    </r>
  </si>
  <si>
    <t>Аптека 25рф</t>
  </si>
  <si>
    <t>Сняли размещение и все.</t>
  </si>
  <si>
    <t xml:space="preserve">Поднять историю, посмотреть, что для них делали. Посмотреть, что они делают сейчас, что еще можем предложить. Найти контакты маркетолога и связаться </t>
  </si>
  <si>
    <t>Найти контакты маркетологов (написать своим старым, спросить у Ивана), попытаться выйти на встречу.</t>
  </si>
  <si>
    <t>Настя Гриднева с Иваном готовят офферы для аптек</t>
  </si>
  <si>
    <t>РУСАГРО</t>
  </si>
  <si>
    <t>Контакт, с которым вели взаимодействие, перешел в Москву, и сотрудничество закончилось. Нет местного менеджера, все идет через Москву и тендеры.</t>
  </si>
  <si>
    <t>СМУ88</t>
  </si>
  <si>
    <t xml:space="preserve">Перестали сотрудничать из-за провокации бывшего директора по маркетингу, которая обвинила Юлю Гурину, когда она там работала, что она нас лоббирует и "крадет деньги" компании 
По последней информации -  состав отдела маркетинга полностю обновлён, руководитель по отзывам "лапочка", из старого состава остался один человек, который, на сколько помню работает уже только над открытием новых филиалов и точек, можно также проанализировать список подрядчиков (у Вики Ж.) и понять, будем ли мы им выгодны и полезны. </t>
  </si>
  <si>
    <r>
      <rPr>
        <rFont val="Arial"/>
        <color rgb="FF000000"/>
      </rPr>
      <t xml:space="preserve">срочно найти контакты новой команды маркетологов, они сейчас планируют свою доставку пиццы как отдельный бизнес. </t>
    </r>
    <r>
      <rPr>
        <rFont val="Arial"/>
        <color rgb="FFFF0000"/>
      </rPr>
      <t>Немного не поняла комментарий, готова поставить задачу Вике Ж., так как у нее есть выходы, но не понимаю, что мы им собираемся предложить</t>
    </r>
  </si>
  <si>
    <t>Первый контакт</t>
  </si>
  <si>
    <t>РИВГОШ</t>
  </si>
  <si>
    <t>ушли под Вайлдбериз, вряд ли будут тратить какие-то деньги на маркетинг на местном уровне, не попытка не пытка, особенно если заходить на них с китайской темой в расчет на федеральную поддержку</t>
  </si>
  <si>
    <t>Серышевский ПК</t>
  </si>
  <si>
    <t>Свитто</t>
  </si>
  <si>
    <t>Вышли напрямую на поставщиков размещения. Сейчас работают со Свитто.</t>
  </si>
  <si>
    <t>ЮНИКОМ?</t>
  </si>
  <si>
    <t>БЫСТРИНСКОЕ?</t>
  </si>
  <si>
    <t>Эфко-Каскад</t>
  </si>
  <si>
    <t>Удоканская медь</t>
  </si>
  <si>
    <t>ТИЦ Сахалин</t>
  </si>
  <si>
    <t>можно выйти на них с китайской темой, хотя в прошлом году ничего не проросло у Русапая</t>
  </si>
  <si>
    <t>Лотте</t>
  </si>
  <si>
    <t>ГК Байкал</t>
  </si>
  <si>
    <t>Глобалдрайв</t>
  </si>
  <si>
    <t>ГК Новастрой</t>
  </si>
  <si>
    <t>Полиметалл</t>
  </si>
  <si>
    <t>Иней</t>
  </si>
  <si>
    <t>Транзит (+Ярич/)</t>
  </si>
  <si>
    <t>Сибур</t>
  </si>
  <si>
    <t>ЧЕхова (Вика тел)</t>
  </si>
  <si>
    <t xml:space="preserve">Аптеки - общая встреча </t>
  </si>
  <si>
    <t>реми ()Ира-ШАтыро)</t>
  </si>
  <si>
    <t>СОлид (Юля контакт)</t>
  </si>
  <si>
    <t>STARK (Оля из ДСК)</t>
  </si>
  <si>
    <t>Задачи на 24-28.02:</t>
  </si>
  <si>
    <t>дополнить ВИШ-ЛИСТ до 30 компаний</t>
  </si>
  <si>
    <t>риски высокие, что клиент не начнет программу или начнет не с нами</t>
  </si>
  <si>
    <t>контекстная реклама, telegram ads</t>
  </si>
  <si>
    <t>Шилова Анастасия</t>
  </si>
  <si>
    <t>КП у Михайлюка, нет обратной связи</t>
  </si>
  <si>
    <t>подготовлено КП по микро-блогерам</t>
  </si>
  <si>
    <t>Ареал Девелопмент</t>
  </si>
  <si>
    <t>высокие, ситуация у клиента не стабильная и изменчивая</t>
  </si>
  <si>
    <t>дополнительные бюджеты на продакшен и блогеров</t>
  </si>
  <si>
    <t>ждём договор на подпись</t>
  </si>
  <si>
    <t>полное сворачивание маркетинговой программы клиентом, отсутствие бюджета на рекламное продвижение tg канала</t>
  </si>
  <si>
    <t>продвижение tg канала, увеличение бюджета на продакшн, производство контента для сайта</t>
  </si>
  <si>
    <t>закрытие вопросов от Заказчика под ключ в разрезе своего направления + документооброт</t>
  </si>
  <si>
    <r>
      <rPr>
        <rFont val="Arial"/>
        <b/>
        <color rgb="FF000000"/>
      </rPr>
      <t>Шилова Настя</t>
    </r>
    <r>
      <rPr>
        <rFont val="Arial"/>
        <color rgb="FF000000"/>
      </rPr>
      <t xml:space="preserve"> - разработка+контент
</t>
    </r>
    <r>
      <rPr>
        <rFont val="Arial"/>
        <b/>
        <color rgb="FF000000"/>
      </rPr>
      <t>Чертухина Софья</t>
    </r>
    <r>
      <rPr>
        <rFont val="Arial"/>
        <color rgb="FF000000"/>
      </rPr>
      <t xml:space="preserve"> - tg канал+контент+блогеры+посевы
</t>
    </r>
    <r>
      <rPr>
        <rFont val="Arial"/>
        <b/>
        <color rgb="FF000000"/>
      </rPr>
      <t>Троепольская Настя</t>
    </r>
    <r>
      <rPr>
        <rFont val="Arial"/>
        <color rgb="FF000000"/>
      </rPr>
      <t xml:space="preserve"> - стратегия продвижения канала, создание контента, администрирование канала
</t>
    </r>
    <r>
      <rPr>
        <rFont val="Arial"/>
        <b/>
        <color rgb="FF000000"/>
      </rPr>
      <t>Ярич Софья</t>
    </r>
    <r>
      <rPr>
        <rFont val="Arial"/>
        <color rgb="FF000000"/>
      </rPr>
      <t xml:space="preserve"> - общая рамка по Заказчику, сопровождение всех этапов</t>
    </r>
  </si>
  <si>
    <r>
      <rPr>
        <rFont val="Arial"/>
        <color rgb="FF000000"/>
      </rPr>
      <t>подтвержден бюджет по ведению</t>
    </r>
    <r>
      <rPr>
        <rFont val="Arial"/>
        <b/>
        <color rgb="FF000000"/>
      </rPr>
      <t xml:space="preserve"> tg канала </t>
    </r>
    <r>
      <rPr>
        <rFont val="Arial"/>
        <color rgb="FF000000"/>
      </rPr>
      <t xml:space="preserve">по май включительно, бюджет на </t>
    </r>
    <r>
      <rPr>
        <rFont val="Arial"/>
        <b/>
        <color rgb="FF000000"/>
      </rPr>
      <t>продвижение</t>
    </r>
    <r>
      <rPr>
        <rFont val="Arial"/>
        <color rgb="FF000000"/>
      </rPr>
      <t xml:space="preserve"> аккаунта не выделен, в</t>
    </r>
    <r>
      <rPr>
        <rFont val="Arial"/>
        <b/>
        <color rgb="FF000000"/>
      </rPr>
      <t>ыбор подрядчика по сайтам сделан</t>
    </r>
    <r>
      <rPr>
        <rFont val="Arial"/>
        <color rgb="FF000000"/>
      </rPr>
      <t xml:space="preserve"> (БОЛТ+CULTURA) - документы на подписании, точный бюджет на</t>
    </r>
    <r>
      <rPr>
        <rFont val="Arial"/>
        <b/>
        <color rgb="FF000000"/>
      </rPr>
      <t xml:space="preserve"> проиводство контента</t>
    </r>
    <r>
      <rPr>
        <rFont val="Arial"/>
        <color rgb="FF000000"/>
      </rPr>
      <t xml:space="preserve"> будет определеён в начале марта</t>
    </r>
  </si>
  <si>
    <t>tg канал (включая фир стиль), положительная динамика за три месяца работы
КП по продвижению канала - формат согласован, финансировнаие частично одобрено</t>
  </si>
  <si>
    <t>отмена или сокращение бюджетов на сезонные промо-кампании, закрытие китайского аккаунта</t>
  </si>
  <si>
    <t>дизайны для промо-компаний, видеопродакешн для китайского аккаунта Сяохуншу</t>
  </si>
  <si>
    <t xml:space="preserve">надо обсудить возможности по продакшну после сегодняшнего зума с клиентом 6.02 </t>
  </si>
  <si>
    <t>Рост объёма и длительности контракта по контексту, SMM</t>
  </si>
  <si>
    <t>Чертухина Софья</t>
  </si>
  <si>
    <t>Планируем встречу в феврале (вторая половина)</t>
  </si>
  <si>
    <t>КП по SMM, в обсуждении индивид условия с 30-40% скидкой</t>
  </si>
  <si>
    <t>Плановый показатель общего бюджета целевых клиентов должен быть в районе 70% от плана ВП 2026, это 15,4 млн.</t>
  </si>
  <si>
    <t>Лоджистик Лайн</t>
  </si>
  <si>
    <t>внутренняя оптимизация на стороне клиента</t>
  </si>
  <si>
    <t>не ведут SMM, можно предложить SMM</t>
  </si>
  <si>
    <t>создали лендинг, вели контекст, клиент не увидел результата и прекратил сотрудничество</t>
  </si>
  <si>
    <t>написал, клиент ответил отрицательно</t>
  </si>
  <si>
    <t>Олимп</t>
  </si>
  <si>
    <t>ведут SMM сами, можно предложить либо SMM под ключ, либо стратегию</t>
  </si>
  <si>
    <t>вели контекст, накосячили, прекратили сотрудничество</t>
  </si>
  <si>
    <t>Мастерская Мира</t>
  </si>
  <si>
    <t>контекст, видео-продакшн</t>
  </si>
  <si>
    <t>назначена встреча с клиентом на март после сдачи отчета в феврале, точная дата не определена</t>
  </si>
  <si>
    <t>продвижение сайта, отраслевые диджитал решения</t>
  </si>
  <si>
    <t>после подготовки КП клиенту будет направлено предложение встречи</t>
  </si>
  <si>
    <t>подготовливается КП по SEO и контексту</t>
  </si>
  <si>
    <t>ТФЛ (Логистика)</t>
  </si>
  <si>
    <t>посевы, контекстная реклама</t>
  </si>
  <si>
    <t>Маркетолог Дарья Болычева ответила, что маркетинг на стопе, канал TG не ведется, на данный момент задач нет</t>
  </si>
  <si>
    <t>проведено общение онлайн</t>
  </si>
  <si>
    <t>МОРЕ МАШИН (MS AUTO)</t>
  </si>
  <si>
    <t>Креатив, дизайн, SMM</t>
  </si>
  <si>
    <t>продолжаем закрывать мелкие задачи по дизайну и SMM</t>
  </si>
  <si>
    <t>создание бренда + малый фирменный стиль</t>
  </si>
  <si>
    <t>Клиент ДВ Региона</t>
  </si>
  <si>
    <t>клиент получил КП по посевам в пабликах, мы ждем ОС</t>
  </si>
  <si>
    <t>отправлено КП по посевам в пабликах</t>
  </si>
  <si>
    <t xml:space="preserve">Мой бизнес </t>
  </si>
  <si>
    <t>ДВ Региону не потребуется помощь БОЛТа</t>
  </si>
  <si>
    <t>Хаотичные задачи от Иры, когда Сергей загружен или нужна срочность</t>
  </si>
  <si>
    <t>не возобновить отношения, в связи с отсутствием отдела маркетинга и внутренней оптимизацией в компании</t>
  </si>
  <si>
    <t xml:space="preserve">остановили контекст, оставив деньги на балансе в размере 67.000, которые мы вывели из кабинетов на р/с свой. договрились с клиентом, что если захотят возобновить размещение, то мы пополним на эту сумму бюджет, НО только при условии работы по настройке контектстной рекламы через нас </t>
  </si>
  <si>
    <t>Трансгаз+Атмосфера</t>
  </si>
  <si>
    <t>хотят много за минимальный бюджет</t>
  </si>
  <si>
    <t>Гранд/Родина</t>
  </si>
  <si>
    <t>Плановый показатель общего бюджета по нецелевым клиентам должен быть 6,6 млн х коэф 3=19,8, а лучше с коэф 5, то есть 6,6х5=33 млн.</t>
  </si>
  <si>
    <t>будет общая встреча с ДВ Регионом</t>
  </si>
  <si>
    <t>Профи клиник</t>
  </si>
  <si>
    <t>Ревука вёл, но очень плохо помню</t>
  </si>
  <si>
    <t>Домовид</t>
  </si>
  <si>
    <t>Бунтуш Андрей</t>
  </si>
  <si>
    <t>Приморский центр лазерной коррекции зрения</t>
  </si>
  <si>
    <t>Потапенко Кирилл</t>
  </si>
  <si>
    <t>Pizza La Renzo</t>
  </si>
  <si>
    <t>Ревука</t>
  </si>
  <si>
    <t>не видят смысла в SMM, но можно попробовать узнать причины и реанимировать историю</t>
  </si>
  <si>
    <t>Ашитков / Ярич</t>
  </si>
  <si>
    <t>не ведут SMM довольно продолжительное время, можно обсудить возобновление ведения SMM + креативы</t>
  </si>
  <si>
    <t>отправлено приветственное письмо</t>
  </si>
  <si>
    <t>Lotte</t>
  </si>
  <si>
    <t>Супра</t>
  </si>
  <si>
    <t>собственный отдел маркетинга, не ищут партнерства, кроме как по китайскому направлению</t>
  </si>
  <si>
    <t>написал маркетологу Светлане Русановой, ранее сотрудничали по блогерскому туру, буду выводить на работу по российскому рынку через предложение по китайскому, ранее интересовались ведением Xiaohonhshu и Douyin, но отложили утверждение данной инициативы на неопределенный срок, Светлана ушла в Кофемашину, написал новому маркетологу Супры</t>
  </si>
  <si>
    <t>Несина Любовь</t>
  </si>
  <si>
    <t>дела банка удовлетворительны, вкладывают деньги в разработку собственного продукта</t>
  </si>
  <si>
    <t>практически отсутствуют</t>
  </si>
  <si>
    <t>Любовь поинтересуется, какой актуальное состояние дел и возможности для сотрудничества</t>
  </si>
  <si>
    <t>Колымская</t>
  </si>
  <si>
    <t>Worldclass</t>
  </si>
  <si>
    <t>закрывают все задачи самостоятельно</t>
  </si>
  <si>
    <t>Доброе дело</t>
  </si>
  <si>
    <t>Алеся ждет подтвеждения встречи от клиента,  планирует на встречу взять БОЛТ</t>
  </si>
  <si>
    <t>РРПК</t>
  </si>
  <si>
    <t>Мицай</t>
  </si>
  <si>
    <t>Аленка</t>
  </si>
  <si>
    <t>ВИК</t>
  </si>
  <si>
    <t>Даль ЭТО</t>
  </si>
  <si>
    <t>Доброфлот</t>
  </si>
  <si>
    <t>КРДВ</t>
  </si>
  <si>
    <t>Клиенты НБ БОЛТ</t>
  </si>
  <si>
    <t>Темел</t>
  </si>
  <si>
    <t>Застройщик ищет маркетолога в штат, сдача ЖК Днепровский - 2027 год, предложить, в первую очередь, SMM</t>
  </si>
  <si>
    <t>отправлено письмо на общую почту - sz-temel@yandex.ru</t>
  </si>
  <si>
    <t>Омлет Станция</t>
  </si>
  <si>
    <t>ищут маркетолога, активно участвуют в событийных мероприятиях города, и мы с ними коллабились по китайскому направлению, поэтому родилась мысль узнать про возможность сотрудничества по российскому рынку тоже</t>
  </si>
  <si>
    <t>ведется диалог с владельцем на тему работы по российскому направлению</t>
  </si>
  <si>
    <t>обновляют сайт, активно ведет канал TG, возможно, нужна помощь в решении стратегических или прикладных задач</t>
  </si>
  <si>
    <t>отправлено письмо на общую почту - elefantvl@gmail.com</t>
  </si>
  <si>
    <t>Русский краб</t>
  </si>
  <si>
    <t>попросил знакомого, который там работает, узнать, есть ли задачи на аутсорс</t>
  </si>
  <si>
    <t>МСМ</t>
  </si>
  <si>
    <t>ищут руководителя отдела маркетинга и рекламы</t>
  </si>
  <si>
    <t>написал обращение по форме сайта, заявление приняли</t>
  </si>
  <si>
    <t>Белый Кролик</t>
  </si>
  <si>
    <t>бывшие коллеги из Бубль-Гума работают в Белом Кролике + компания ищет маркетлога</t>
  </si>
  <si>
    <t>написал бывшим коллегам спросил, есть ли задачи, по которым можно посотрудничать, жду ОС, отказ</t>
  </si>
  <si>
    <t>Primemeal: Zaza, Toyosu</t>
  </si>
  <si>
    <t>работали с YESPами, ищут бренд-менеджера</t>
  </si>
  <si>
    <t>написал на почту primemeal и почту Zaza предложил сотрудничество</t>
  </si>
  <si>
    <t>Техсервис</t>
  </si>
  <si>
    <t>ищут директора по маркетингу и рекламе, базируются в Хабаровске, продают тяжелую технику, занимаются производством комплектующих</t>
  </si>
  <si>
    <t>написал на общую почту, если не будет ответа 25.02, то позвоню 26.02</t>
  </si>
  <si>
    <t>Примтеркомбанк</t>
  </si>
  <si>
    <t>Ищут начальника отдела маркетинга. У банка в маркетинге плохо все, начиная от стратегии и закачивая онлайн</t>
  </si>
  <si>
    <t>написал письмо в 2025 году, сейчас написал повторно с учетом размещения вакансии, надо звонить или идти в гости в холодную</t>
  </si>
  <si>
    <t>интересует работа с отзывами</t>
  </si>
  <si>
    <t>направил КП по работе с отызвами, предложил обновить фирменный стиль и визуал сайта</t>
  </si>
  <si>
    <t>КЛИЕНТОВ ПО ПРОЕКТАМ RUSAPAI ведем отдельно здесь, чтобы не смешивать с базой ДВ Региона и БОЛТа</t>
  </si>
  <si>
    <t>сокращение китайской программы по факту уже произошло, может быть дальнейшее сокращение активностей</t>
  </si>
  <si>
    <t>повышение рекламного бюджета на продвижение Сяохуншу, увеличение бюджета на продакшен для Сяохуншу</t>
  </si>
  <si>
    <t>поиск новых продуктовыъ предложений/Веремейчик/Тедеев</t>
  </si>
  <si>
    <t>Терпеливый клиентский сервис, поддержание лояльности местного и московског оофиса</t>
  </si>
  <si>
    <t>Несина/Тедеев</t>
  </si>
  <si>
    <t>КП с новой ценой находится на согласовании клиента, пока подтвержден старый бюджет</t>
  </si>
  <si>
    <t>проведено два конфколла</t>
  </si>
  <si>
    <t>исследования по Китаю для МСП</t>
  </si>
  <si>
    <t>отправлено кп по исследованиям</t>
  </si>
  <si>
    <t>Антей</t>
  </si>
  <si>
    <t>все на отношениях с Веремейчиком, все зависит от Андрея</t>
  </si>
  <si>
    <t>надо обсудить перспективы с Андреем</t>
  </si>
  <si>
    <t>ГАОДЕ , Диньпин, Сяохуншу, промо-стимулы для ЦА китайцев, коллаборации с блог турами</t>
  </si>
  <si>
    <t>организовать встречу по продуктам RUSAPAI</t>
  </si>
  <si>
    <t>Плановый показатель 2026 - 6 млн</t>
  </si>
  <si>
    <t>ТИЦ ПК</t>
  </si>
  <si>
    <t>остаться в рамках бартерных отношений по блогерским турам</t>
  </si>
  <si>
    <t>продаваить ведение аккаунта в Сяохуншу</t>
  </si>
  <si>
    <t>обсуждается коллаборация по блог туру для Ракушки</t>
  </si>
  <si>
    <t>Ракушка</t>
  </si>
  <si>
    <t>приостановка ведения аккаунта Сяохуншу с июня, если не будет положительных результатов</t>
  </si>
  <si>
    <t>проведение блог тура, но для этого нужны другие участники коллаборации</t>
  </si>
  <si>
    <t>обеспечить успешный старт проекта в феврале-марте</t>
  </si>
  <si>
    <t>контракт подписан на Сяохуншу, геосервисы по Дакаре, идет регистрация аккаунта, разрабатывается контент-стратегия</t>
  </si>
  <si>
    <t>АДМ</t>
  </si>
  <si>
    <t>Перешли на самостоятельную работу с Китаем в 2025 году. В 2024 году был реализованы проекты на 6,3 млн ВП</t>
  </si>
  <si>
    <t xml:space="preserve">Риски высокие, отсутствие бюджета или желания работать с Агентством </t>
  </si>
  <si>
    <t>вернуть SMM, B2B спец проекты в Китае, экспо-маркетинг</t>
  </si>
  <si>
    <t>быть в контакте с Алексеем Витальевичем Буглаком - президентом АДМ</t>
  </si>
  <si>
    <t>режим тишины</t>
  </si>
  <si>
    <t>был бартер по блогерам в 2024 году</t>
  </si>
  <si>
    <t>Не потянут бюджет</t>
  </si>
  <si>
    <t>Сяохуншу, геосервис + отзовик, коллаборации по блог турам</t>
  </si>
  <si>
    <t>КП на рассмотрении</t>
  </si>
  <si>
    <t>отправлено КП 10.02.2026</t>
  </si>
  <si>
    <t>ТИЦ Хабаровск</t>
  </si>
  <si>
    <t>был диалог касательно ведения китайских соцсетей, после клиент решил вести соцсети своими силами</t>
  </si>
  <si>
    <t>ведение китайских соцсетей + платное рекламное продвижение</t>
  </si>
  <si>
    <t>Выберут другого подрядчика или будут вести соцсети самостоятельно</t>
  </si>
  <si>
    <t>сяохуншу, вэйбо, вичат</t>
  </si>
  <si>
    <t>Кофемашина</t>
  </si>
  <si>
    <t>маркетолог Кофемашины ранее работал в Супре</t>
  </si>
  <si>
    <t>ведение работы по привлечению самостоятельных китайских туристов в кафе, которые лежат на турмаршруте</t>
  </si>
  <si>
    <t>Нет финансирования на данный проект</t>
  </si>
  <si>
    <t>требует обсуждения внутри команды с клиентом</t>
  </si>
  <si>
    <t>надо провести встречу с клиентом и/ или подготовить песонализированное КП</t>
  </si>
  <si>
    <t>от клиента был запрос по стоимости ведения Сяохуншу и Тикток, после поставит проект на стоп</t>
  </si>
  <si>
    <t>ведение соцсетей: Сяохуншу и Тикток</t>
  </si>
  <si>
    <t>сменился менеджер, поменялись планы руководства по развитию китайского направления</t>
  </si>
  <si>
    <t>написал новому менеджеру, пробую выйти на диалог и возобновить обсуждение китайского направления, и, по возможности, узнать, есть ли задачи, которые Супра отдает на аутсорс</t>
  </si>
  <si>
    <t>ИДБ</t>
  </si>
  <si>
    <t>были на этапе подписания контракта, отложили на новый год</t>
  </si>
  <si>
    <t>работа с отзовиком, геосервисом, проведение ситуативных промо-кампаний</t>
  </si>
  <si>
    <t>не выделят средств на данный проект</t>
  </si>
  <si>
    <t>связался с менеджером, актуализировал статус</t>
  </si>
  <si>
    <t>Вкусвилл</t>
  </si>
  <si>
    <t>предлагали комплексное развитие китайского направления, клиент нашел другоог подрядчика</t>
  </si>
  <si>
    <t>ведение Сяохуншу</t>
  </si>
  <si>
    <t>не увидят прогнозируемого результата в действиях по развитию китайского направления</t>
  </si>
  <si>
    <t>связался с менеджером с целью актализировать статус их работу, жду ОС</t>
  </si>
  <si>
    <t>Бренд</t>
  </si>
  <si>
    <t>РуссАутдор / баинг</t>
  </si>
  <si>
    <t>Родная речь / ЭмЭмЭс Коммьюникейшнс</t>
  </si>
  <si>
    <t>Вкусно и Точка</t>
  </si>
  <si>
    <t>Ред Таг (был Постерскоп)</t>
  </si>
  <si>
    <t>PPL</t>
  </si>
  <si>
    <t>Т Банк, Т Банк/S7</t>
  </si>
  <si>
    <t>СТС</t>
  </si>
  <si>
    <t>Постерскоп</t>
  </si>
  <si>
    <t>Икон + Т2 (до июля 25)</t>
  </si>
  <si>
    <t>ZIC</t>
  </si>
  <si>
    <t>Альтернатива</t>
  </si>
  <si>
    <t>Озон</t>
  </si>
  <si>
    <t>АутдорМаркет</t>
  </si>
  <si>
    <t>DRIVEE</t>
  </si>
  <si>
    <t>Регион Медиа</t>
  </si>
  <si>
    <t>Грани</t>
  </si>
  <si>
    <t>Дилан-маркет</t>
  </si>
  <si>
    <t>Мастер Композит</t>
  </si>
  <si>
    <t>Восток Форс</t>
  </si>
  <si>
    <t>Медиа Рум / Игроник</t>
  </si>
  <si>
    <t>АМЕДИА</t>
  </si>
  <si>
    <t>РЖД</t>
  </si>
  <si>
    <t>UTECH</t>
  </si>
  <si>
    <t>Вольт МДГ</t>
  </si>
  <si>
    <t>Ингосстрах</t>
  </si>
  <si>
    <t>МедиаМИР</t>
  </si>
  <si>
    <t>Концерт</t>
  </si>
  <si>
    <t>Стендап</t>
  </si>
  <si>
    <t>Задача</t>
  </si>
  <si>
    <t>Статус</t>
  </si>
  <si>
    <t>Результат</t>
  </si>
  <si>
    <t>Техническое описание</t>
  </si>
  <si>
    <t>Февраль</t>
  </si>
  <si>
    <t>Готово</t>
  </si>
  <si>
    <t xml:space="preserve">По всем "официальным" источникам, ребрендинг не планируется на данный момент.
Поставлена задача по открытию дополнительно большого кол-ва точек. На момент получения информации (декабрь), планировалось около 200 за год, но внутренний отдел, ответственный за это, едва переваривал 2-3 точки в год до этого. На данный момент ситуация не изменилась, отдел так и не расширяют, федералы пока не предпринимают значительных действий, все двигаются "по течению".
Приобретенные ранее в 2023 году сеть продуктовых магазинов "Монетка" и сеть непродовольственных магазинов "Улыбка Радуги" под ребрендинг не попали. Лента заявила о ребрендинге строительных магазинов OBI в "DOM Лента". Однако, это была покупка и поглощение изначально зарубежного бренда с федеральной сетью. В связи с чем, вариант отказа от ребрендинга для Реми пока кажется наиболее вероятным. </t>
  </si>
  <si>
    <t>Ребрендинг Реми на данный момент не планируется, есть масштабный план по увеличению кол-ва ТТ</t>
  </si>
  <si>
    <t>1. Сбор и обработка информации из открытых новостных источников
2. Инсайты от С. Ярич
3. Инсайты от личного контакта</t>
  </si>
  <si>
    <t>Март</t>
  </si>
  <si>
    <t xml:space="preserve">Бизнес-контекст + 3-5 точек входа </t>
  </si>
  <si>
    <t xml:space="preserve">Имеет смысл организовать штурмовку продающих юнитов по дальнейшей работе с клиентом. </t>
  </si>
  <si>
    <t>Готов бизнес-контекст, поверхностный конкурентный анализ, определены 4 точки входа</t>
  </si>
  <si>
    <t>1. Сбор и обработка информации из открытых источников
2. В общей сложности на работу ушло около 2 рабочих дней.</t>
  </si>
  <si>
    <t>НИКО</t>
  </si>
  <si>
    <t>Перенос стратегии коммуникаций на подготовленный С. Мостовым шаблон</t>
  </si>
  <si>
    <t>Стратегия коммуникаций перенесена на шаблон, проведены корректировки от С. Мостового, И. Тименчук и К. Потапенко
С.Мостовому не пришлось перерисовывать слайды (как в случае с Кристал Альянс)</t>
  </si>
  <si>
    <t>Готовая стратегия коммуникаций, отправлена клиенту.</t>
  </si>
  <si>
    <t>1. Перенос с готового внутреннего документа
2. Три небольших итерации в соответствие с правками
3. В общей сложности на работу ушло около 5  рабочих дней.</t>
  </si>
  <si>
    <t>China Friendly</t>
  </si>
  <si>
    <t>Подготовить КП по China Friendly программе для отелей</t>
  </si>
  <si>
    <t>Проведена встреча-штурмовка с И. Тедеевым, А. Веремейчиком и К. Потапенко по определению состава продукта и дополнительных опций, а также по наполнению презентации и материалах на основе которых была определена актуальность данного кп</t>
  </si>
  <si>
    <t>Готово КП для распространения по отелям Владивостока</t>
  </si>
  <si>
    <t>1. Проведен анализ исходных данных
2. Две итерации по упрощению восприятия КП
3. В общей сложности на работу ушло около 2  рабочих дней</t>
  </si>
  <si>
    <t>Путеводитель Hainan Airlines</t>
  </si>
  <si>
    <t>Адаптировать КП 2025 года, переложить его в новый шаблон и обновить с учетом данных по 2026 г.</t>
  </si>
  <si>
    <t>Проведена встреча-штурмовка по актуальности продаж путеводителя в 2026 году, принято решение снизить цену и поменять размеры рекламных модулей.</t>
  </si>
  <si>
    <t xml:space="preserve">Готово КП для распространения </t>
  </si>
  <si>
    <t>1. Проведен анализ исходных данных
2. Две итерации по адаптации КП
3. В общей сложности на работу ушло около 2 рабочих дней</t>
  </si>
  <si>
    <t>Подготовить коммерческое предложение по B2B активации на китайский рынок</t>
  </si>
  <si>
    <t>Подготовлен первоначальный вариант видения. 
Представлен РОМу клиента, где стало очевидной аллергия ЛПР на маркетинг и маркетинговую терминологию. Также было предложено остановится на прикладных инструментах первого этапа.</t>
  </si>
  <si>
    <t>Готово КП для встречи с ЛПР клиента</t>
  </si>
  <si>
    <t>1. Проведен анализ исходных данных, выделены оптимальные прикладные инструменты для первого этапа
2. Две итерации по адаптации КП в соответствии с особенностями коммуникации с клиентом
3. В общей сложности на работу ушло около 3 рабочих дней</t>
  </si>
  <si>
    <t>СК Колымская</t>
  </si>
  <si>
    <t>Сформировать презентацию по проекту клуба для пожилых людей
Разработать этапность проекта
Сформировать цели, задачи, позиционирование и концепцию проекта на основе документа О. Федосеевой</t>
  </si>
  <si>
    <t>Проведено две встречи-штурмовки с хабаровским филиалом
Первая итерация принята без правок</t>
  </si>
  <si>
    <t>Готова презентация проекта</t>
  </si>
  <si>
    <t>1. Разбор базы материалов.
2. Формирование целей и задач, переработка позиционирования, определение ЦА.
3. Проработка этапности проекта.
4. В общей сложности на работу ушло около 2 рабочих дней</t>
  </si>
  <si>
    <t>Подготовить бизнес-контекст, сравнительный анализ главных конкурентов</t>
  </si>
  <si>
    <t>Готов сравнительный анализ и идеи действий для онлайна и офлайна.</t>
  </si>
  <si>
    <t>1. Анализ открытых источников по трем компаниям: Юнилаб, Инвитро, Гемотест
2. Сравнение трех сайтов компаний, анализ ключевых различий и схожестей.
3. Сравнение ценовых политик и самых актуальных акций
4. Бенчмаркинг по другим критериям
5. Разработка идей для онлайн и офлайн продвижения без критически больших затрат
6. В общей сложности на работу ушло около 3 рабочих дней.</t>
  </si>
  <si>
    <t>Апрель</t>
  </si>
  <si>
    <t>Работы много, но все зависит от настроя клиента.</t>
  </si>
  <si>
    <t>Подготовлен бизнес-контекст и небольшой конкурентный анализ, определены приоритеты по заходу к клиенту, где мы могли бы быть им полезны. Много где.</t>
  </si>
  <si>
    <t>1. Анализ открытых источников
2. Сравнительный анализ конкурентов
3. Анализ онлайн активности компании
4. Анализ сайта, офферов, преимуществ, ценовой политики
5. В общей сложности на работу ушло около 3 рабочих дней.</t>
  </si>
  <si>
    <t>Подгтовка КП на исследование в Благовещенске</t>
  </si>
  <si>
    <t>На основе письма К.Г. Потапенко на ФСК Регион; второе кп про наше исследование 2025 года</t>
  </si>
  <si>
    <t>Готово 2 кп</t>
  </si>
  <si>
    <t>1. Обработка письма, визуализация информации.
2. В общей сложности на работу ушло около 0,7 рабочего дня</t>
  </si>
  <si>
    <t>Адаптировать презентацию под более прикладной и приземленный формат</t>
  </si>
  <si>
    <t>Задача-продолжение задачи марта</t>
  </si>
  <si>
    <t>Готовы правки к изначальной презентации</t>
  </si>
  <si>
    <t>1. Внесение правок от К.Г.
2. В общей сложности на работу ушло около 0,3 рабочего дня</t>
  </si>
  <si>
    <t>Позиционирование гостиничных сетей для проекта с УК ГОСТ-МЕНЕДЖМЕНТ/RODINA HOTELS</t>
  </si>
  <si>
    <t>Сравнительный анализ позиционирования, миссии и ценностей мировых гостинничных брендов, до недавнего временипредставленных в России</t>
  </si>
  <si>
    <t>Составлена две таблички - в ручную собранная информация и  ИИ выгрузка</t>
  </si>
  <si>
    <t>1. Анализ открытых источников - сайтов премиальных сетей отелей
2. В общей сложности на работу ушло 1,5 рабочих дня</t>
  </si>
  <si>
    <t>Rodina Hotels</t>
  </si>
  <si>
    <t>Промежуточные правки к кп</t>
  </si>
  <si>
    <t>Привести структуру к тайм-плану</t>
  </si>
  <si>
    <t>SiTRUCK</t>
  </si>
  <si>
    <t>Анализ потребностей, диагностика и получить контакты</t>
  </si>
  <si>
    <t>Филиал отвечает за ДФО, получен контакт продаж</t>
  </si>
  <si>
    <t>Готов бизнес-контекст и потенциальные точки входа. Компания ведет чисто китайский маркетинг - никакого.</t>
  </si>
  <si>
    <t>Анализ оборотов по рекламному бизнесу Владивостока</t>
  </si>
  <si>
    <t>Первичный сбор информации завершен. приступила к следующему этапу - визуальной адаптации под более удобный вариант</t>
  </si>
  <si>
    <t>Готов первичный вариант, возможно потребуется перенос таблички и ее визуальное изменение</t>
  </si>
  <si>
    <t>Рейтинг ЖК Владивостока</t>
  </si>
  <si>
    <t>Выгрузить информацию о продажах ЖК Владивостока от ГРЦ</t>
  </si>
  <si>
    <t>Зеленым выделены контакты, которых либо совсем нет во вкладке "БАЗА", либо где есть информация, но найдены новые/другие контакты</t>
  </si>
  <si>
    <t>Подготовлен лист ЖК с фактом продаж за март в существующей базе застройщиков, найдены контакты недостающих застройщикова</t>
  </si>
  <si>
    <t>1. Перенос информации из исследования
2. В общей сложности на работу ушло около 0,2 рабочего дня</t>
  </si>
  <si>
    <t>VietJet</t>
  </si>
  <si>
    <t>Бизнес-контекст, 3 сценария захода к ним</t>
  </si>
  <si>
    <t>Отмена</t>
  </si>
  <si>
    <t xml:space="preserve">У компании только чартерные рейсы. Смысл продвигать их на B2C, конечно, все равно есть, но по истории сотрудничества, вероятность того, что клиент "преисполниться" - минимальна. </t>
  </si>
  <si>
    <t>Корейские авиалинии</t>
  </si>
  <si>
    <t>Проработать слухи про корейские авиалинии, возвращающиеся в Россию</t>
  </si>
  <si>
    <t>Последний всплеск слухов связан с заявлением президента делового совета Пак Чжон Хо. На вопрос о возобновлении прямых рейсов он сказал:
«Корейские авиалинии были как раз на [Международном транспортно-логистическом] форуме, переговоры идут». Однако несмотря на переговоры, нужно понимать, что ключевым барьером является санкции на финансовый сектор России и практическая невозможность взаиморасчетов. В связи с этим в ближайшее будущее ожидать возобновления не стоит, несмотря на переговоры. Оба варианта решения проблемы - налаживание несанкционного канала оплаты и снятие санкций являются перспективой минимум 1-2 лет.</t>
  </si>
  <si>
    <t>Анализ дан в комментарии</t>
  </si>
  <si>
    <t>1. Анализ открытых источников.
2. В общей сложности на работу ушло около 0,3 рабочего дня</t>
  </si>
  <si>
    <t>Май</t>
  </si>
  <si>
    <t>Гиперавто MASHUMA</t>
  </si>
  <si>
    <t>Сбор маркетинговой информации</t>
  </si>
  <si>
    <t>полная география сети, адреса магазинов, сайт, соц сети, геосервисы, любая другая маркетинговая  информация</t>
  </si>
  <si>
    <t>Готов бизнес контекст, определены направления работы с клиентом</t>
  </si>
  <si>
    <t>1. Выполнен анализ по географии сети
2. Анализ СММ, сайта и личного кабинета
3. Проанализированны геосервисы по четырем городам
4. Проведен поиск PR активности, контекстной рекламы и ретаргетинга.
5. В общей сложности на работу ушло около 4 рабочих дней.</t>
  </si>
  <si>
    <t>Недвижимость Зимбабве</t>
  </si>
  <si>
    <t>задача снимается</t>
  </si>
  <si>
    <t xml:space="preserve">Кейс Миринэ </t>
  </si>
  <si>
    <t>Добавить кейс Миринэ на сайт</t>
  </si>
  <si>
    <t>Для завершения необходимо связаться с культурой, чтобы они показали как в коде настроить скролинг кейсов</t>
  </si>
  <si>
    <t>Кейс готов. Принято решение сначала подготовить все кейсы, потом обращаться к Культуре, чтобы сделать все одним заходом</t>
  </si>
  <si>
    <t>На работу ушло в общей сложности около 2 рабочих дней</t>
  </si>
  <si>
    <t>Подготовка КП по созданию нового бренда и маркетинговой стратегии.</t>
  </si>
  <si>
    <t>Создать презентацию на основе разработанного плана</t>
  </si>
  <si>
    <t>Готова текстовка и визуал для презентации, ожидаю правки</t>
  </si>
  <si>
    <t>Проанализирован бренд, предложены варианты развития для клиента
В общей сложности на работу ушло около 2 рабочих дней.</t>
  </si>
  <si>
    <t>Презентация для встречи</t>
  </si>
  <si>
    <t>старт -  8.05</t>
  </si>
  <si>
    <t>Готова презентация для встречи с визуализацией. Необходимо утвердить документ.</t>
  </si>
  <si>
    <t>Адаптирована аналитика под визуальный формат для встречи с маркетинговым директором
В общей сложности на работу ушло 2 рабочих дня.</t>
  </si>
  <si>
    <t>Текстовка на сайт</t>
  </si>
  <si>
    <t xml:space="preserve">Тексты новых кейсов на сайт </t>
  </si>
  <si>
    <t xml:space="preserve">до 07.05. </t>
  </si>
  <si>
    <t>Готовы тексты новых кейсов на сайт</t>
  </si>
  <si>
    <t>В общей сложности на работу ушел 1 рабочий день.</t>
  </si>
  <si>
    <t>Выгрузить информацию о продажах ЖК Владивостока от ГРЦ за апрель</t>
  </si>
  <si>
    <t>Ежемесячная адаптация отчета ГРЦ</t>
  </si>
  <si>
    <t>Перенесена информация из отчета, сформирован PDF файл</t>
  </si>
  <si>
    <t>В общей сложности работа заняла 0,2 рабочего дня</t>
  </si>
  <si>
    <t>Софт для продаж</t>
  </si>
  <si>
    <t>Потестить рабочую версию от Алексея</t>
  </si>
  <si>
    <t>Медцентры</t>
  </si>
  <si>
    <t>Почистить документ от КГ, привести к единообразию</t>
  </si>
  <si>
    <t>Необходимо определиться с топ-3, чтобы начать копать глубже</t>
  </si>
  <si>
    <t>Подготовлен рейтинг топ-15, к каждой позиции проведен обзорный поверхностный анализ</t>
  </si>
  <si>
    <t>На работу в общей сложности ушло 2 рабочих дня</t>
  </si>
  <si>
    <t>Подготовить драфт аудита для текущих ТТ</t>
  </si>
  <si>
    <t>Для проведения аудита, необходимо установить стандарт, к которому мы стремимся</t>
  </si>
  <si>
    <t>Готов черновой вариант аудита, учтены данные, необходимы от клиента, предложены глубинные интервью с руководителями МХ и полевые исследования для оценки текущего состояния тт</t>
  </si>
  <si>
    <t>На работу в общей сложности ушло 0,5 рабочих дней</t>
  </si>
  <si>
    <t>Июнь</t>
  </si>
  <si>
    <t>Xiaomi, Honor Huawei</t>
  </si>
  <si>
    <t>Анализ вендеров</t>
  </si>
  <si>
    <t>как они продвигаются в России, делают ли локальные кампании с ритейлом, упоминают ли партнеров
где они размещаются сейчас. Используют ли региональные агентства, если реально найти такую информацию. Есть ли активность во Владивостоке/ДФО.</t>
  </si>
  <si>
    <t>ЖК Штыковские</t>
  </si>
  <si>
    <t>Актуализация презентации</t>
  </si>
  <si>
    <t>Жду отмашки от Вики Якименко, что с ценами и деталями разобрались и можно готовить клиентские презентации</t>
  </si>
  <si>
    <t>Презентация сама по себе готова, жду от команды отмашки по дополнительным ЖК и прайсам.</t>
  </si>
  <si>
    <t>В общей сложности на работу ушел 1 рабочий день</t>
  </si>
  <si>
    <t>Джордж групп</t>
  </si>
  <si>
    <t>Требуется заполнение брифа</t>
  </si>
  <si>
    <t>Вика маленькая хочет, жду бриф</t>
  </si>
  <si>
    <t xml:space="preserve">Оценить потенциал сотрудничества с DNS и подготовить стратегию входа.
</t>
  </si>
  <si>
    <t>проанализировать текущую рекламную активность (каналы, форматы, география)
используют ли они агентства в западной части России или работают инхаус
есть ли у них взаимодействие с вендорами. К примеру может были совместные акции: DNS + Huawei, например. Также это могут быть Xiaomi, Honor.
Может в сети были какие-то интервью/статьи/обсуждения.</t>
  </si>
  <si>
    <t>Автобиз аля владдилер</t>
  </si>
  <si>
    <t>диагностика потребностей</t>
  </si>
  <si>
    <t xml:space="preserve">Стоит в плане у Клеменчук А., ждет комментарий от Риты. 
Масштаб клиента огромный, сфокусировалась на Амурском ГМК </t>
  </si>
  <si>
    <t>ДВР Групп</t>
  </si>
  <si>
    <t>Подготовка семинара по кейсу Заметного</t>
  </si>
  <si>
    <t>Заметный</t>
  </si>
  <si>
    <t>Комментарии к манифесту</t>
  </si>
  <si>
    <t>Оценить манифест с точки зрения применимости, стиля и голоса бренда</t>
  </si>
  <si>
    <t>Готово, направлено КГ</t>
  </si>
  <si>
    <t>В общей сложности на работу ушло 0.3 рабочего дня</t>
  </si>
  <si>
    <t>Анализ материала на региональную экспертизу</t>
  </si>
  <si>
    <t xml:space="preserve">Проанализировать рекоммедации GMK, найти промахи, которые можно использовать для коммуникации с клиентом. </t>
  </si>
  <si>
    <t>Аудит торговых точек, финализация стандарта для аудита</t>
  </si>
  <si>
    <t>Ждем обратную связь от Местного Хуторка перед началом работы, предварительный вариант был готов в мае, получены правки от КГ и Иры</t>
  </si>
  <si>
    <t>Пока не актуально для клиента</t>
  </si>
  <si>
    <t>Аналитика</t>
  </si>
  <si>
    <t>На работу в общей сложности ушел 1 рабочий день</t>
  </si>
  <si>
    <t>Кристал Альянс</t>
  </si>
  <si>
    <t>Перевод сайта мультимодальных перевозок</t>
  </si>
  <si>
    <t>Маркетинговая стратегия</t>
  </si>
  <si>
    <t>Указана ВП без НДС/ возможно сокращение бюджета с апреля по HR, так же произошло сокращение у маркетинга</t>
  </si>
  <si>
    <t>новая непонятная задача</t>
  </si>
  <si>
    <t>новая понятная задача1</t>
  </si>
  <si>
    <r>
      <rPr>
        <rFont val="Roboto"/>
        <color rgb="FF000000"/>
      </rPr>
      <t xml:space="preserve">По ДНС Девелопмент - Анастасия Базарнова крайне нестабильно  выходит на связь, у нее есть страх показать, что она нас лоббирует, и она пытается работать и с другими подрядчиками. Часто встречи срываются, из-за ее загруженности. У прочих малых подразделений ДНС (Академия развития, ДСК) - совсем крохотные бюджеты.
</t>
    </r>
    <r>
      <rPr>
        <rFont val="Roboto"/>
        <color rgb="FF000000"/>
      </rPr>
      <t>Доля наружки ДНС СИТИ 599 370 руб. на 2026 год. Из 6 сторон сняли 3 с февраля. Остальные 3 стороны взяты до конца года,поэтому прогноз реальный на данный момент.</t>
    </r>
  </si>
  <si>
    <t>АВ должен договориться об общении с Базарновой по планам</t>
  </si>
  <si>
    <t>фыва</t>
  </si>
  <si>
    <t>Назначили встречу предварительно на 24-27.02</t>
  </si>
  <si>
    <t>Готовлю договор по SMS-рассылке, направила им на рассмотрение возможности размещени в медийной системе Аэрофлота.</t>
  </si>
  <si>
    <t>Запрос КП на навигация в ЖК Архитектор направят нам в авугсте 2026г.</t>
  </si>
  <si>
    <t>Тендерное размещение. Окончание подачи заявок на тендер - 13.02, подведение итогов  -20.02. По словам клиента много желающих податься</t>
  </si>
  <si>
    <t>Жду обсуждения - встречи (ЛПР в отпуске до 16.02)</t>
  </si>
  <si>
    <t xml:space="preserve">30.01 направлено наше предложение по дизайну упаковки = 240 000 руб. </t>
  </si>
  <si>
    <t>встреча-знакомтство 18.02</t>
  </si>
  <si>
    <t>Всё достаточно бюрократично, через тендеры. 
В прошлом году Александр интересовался продвижением
 на китайский рынок, общался с Кириллом Геннадьевичом, 
общение ничем не закончилось</t>
  </si>
  <si>
    <t>был уонтакт с Родионом 4.02, пока не готовы ко встрече, но обсуждаают маркетинг внутри</t>
  </si>
  <si>
    <t>найти контакты маркетологов</t>
  </si>
  <si>
    <r>
      <rPr>
        <rFont val="Roboto"/>
        <color rgb="FF000000"/>
      </rPr>
      <t xml:space="preserve">Просто сняли рекламу. </t>
    </r>
    <r>
      <rPr>
        <rFont val="Roboto"/>
        <color rgb="FF000000"/>
      </rPr>
      <t xml:space="preserve">Часть поверхностей размещали на прямую. Нужно вспомнить кто работал с данным клиентом, попробовать написать и напомнить о нас. </t>
    </r>
  </si>
  <si>
    <t>срочно найти контакты новой команды маркетологов, они сейчас планируют свою доставку как отдельный бизнес</t>
  </si>
  <si>
    <t>ФЕВРАЛЬ 2026</t>
  </si>
  <si>
    <t>МАРТ 2026</t>
  </si>
  <si>
    <t>АПРЕЛЬ 2026</t>
  </si>
</sst>
</file>

<file path=xl/styles.xml><?xml version="1.0" encoding="utf-8"?>
<styleSheet xmlns="http://schemas.openxmlformats.org/spreadsheetml/2006/main" xmlns:x14ac="http://schemas.microsoft.com/office/spreadsheetml/2009/9/ac" xmlns:mc="http://schemas.openxmlformats.org/markup-compatibility/2006">
  <fonts count="52">
    <font>
      <sz val="10.0"/>
      <color rgb="FF000000"/>
      <name val="Arial"/>
      <scheme val="minor"/>
    </font>
    <font>
      <b/>
      <sz val="16.0"/>
      <color rgb="FF000000"/>
      <name val="Trebuchet MS"/>
    </font>
    <font>
      <color rgb="FF000000"/>
      <name val="Arial"/>
      <scheme val="minor"/>
    </font>
    <font>
      <i/>
      <sz val="12.0"/>
      <color rgb="FF000000"/>
      <name val="Trebuchet MS"/>
    </font>
    <font>
      <b/>
      <i/>
      <sz val="12.0"/>
      <color rgb="FFFF0000"/>
      <name val="Trebuchet MS"/>
    </font>
    <font>
      <sz val="12.0"/>
      <color rgb="FF000000"/>
      <name val="Trebuchet MS"/>
    </font>
    <font>
      <b/>
      <sz val="12.0"/>
      <color rgb="FF000000"/>
      <name val="Trebuchet MS"/>
    </font>
    <font>
      <b/>
      <color rgb="FF000000"/>
      <name val="Arial"/>
      <scheme val="minor"/>
    </font>
    <font>
      <sz val="12.0"/>
      <color rgb="FF000000"/>
      <name val="Arial"/>
      <scheme val="minor"/>
    </font>
    <font/>
    <font>
      <b/>
      <sz val="12.0"/>
      <color theme="1"/>
      <name val="Arial"/>
    </font>
    <font>
      <sz val="12.0"/>
      <color theme="1"/>
      <name val="Arial"/>
      <scheme val="minor"/>
    </font>
    <font>
      <b/>
      <sz val="12.0"/>
      <color theme="1"/>
      <name val="Arial"/>
      <scheme val="minor"/>
    </font>
    <font>
      <b/>
      <sz val="12.0"/>
      <color rgb="FF000000"/>
      <name val="Arial"/>
      <scheme val="minor"/>
    </font>
    <font>
      <sz val="12.0"/>
      <color rgb="FFFF0000"/>
      <name val="Arial"/>
      <scheme val="minor"/>
    </font>
    <font>
      <sz val="12.0"/>
      <color theme="1"/>
      <name val="Trebuchet MS"/>
    </font>
    <font>
      <b/>
      <i/>
      <sz val="12.0"/>
      <color rgb="FF000000"/>
      <name val="Montserrat"/>
    </font>
    <font>
      <i/>
      <sz val="12.0"/>
      <color rgb="FFFF0000"/>
      <name val="Montserrat"/>
    </font>
    <font>
      <b/>
      <sz val="12.0"/>
      <color rgb="FF000000"/>
      <name val="Montserrat"/>
    </font>
    <font>
      <b/>
      <sz val="12.0"/>
      <color rgb="FFFFFFFF"/>
      <name val="Montserrat"/>
    </font>
    <font>
      <u/>
      <sz val="12.0"/>
      <color rgb="FF0000FF"/>
    </font>
    <font>
      <b/>
      <sz val="12.0"/>
      <color rgb="FFFF0000"/>
      <name val="Arial"/>
      <scheme val="minor"/>
    </font>
    <font>
      <sz val="10.0"/>
      <color theme="1"/>
      <name val="Arial"/>
      <scheme val="minor"/>
    </font>
    <font>
      <sz val="12.0"/>
      <color rgb="FF0000FF"/>
      <name val="Arial"/>
      <scheme val="minor"/>
    </font>
    <font>
      <color theme="1"/>
      <name val="&quot;Arial&quot;"/>
    </font>
    <font>
      <color theme="1"/>
      <name val="Arial"/>
    </font>
    <font>
      <sz val="12.0"/>
      <color theme="1"/>
      <name val="Arial"/>
    </font>
    <font>
      <color theme="1"/>
      <name val="Arial"/>
      <scheme val="minor"/>
    </font>
    <font>
      <color rgb="FF000000"/>
      <name val="Arial"/>
    </font>
    <font>
      <u/>
      <color rgb="FF000000"/>
      <name val="Arial"/>
    </font>
    <font>
      <b/>
      <sz val="12.0"/>
      <color rgb="FF000000"/>
      <name val="Arial"/>
    </font>
    <font>
      <b/>
      <color rgb="FF000000"/>
      <name val="Arial"/>
    </font>
    <font>
      <color rgb="FF000000"/>
      <name val="Roboto"/>
    </font>
    <font>
      <sz val="8.0"/>
      <color rgb="FFFF0000"/>
      <name val="Roboto"/>
    </font>
    <font>
      <b/>
      <sz val="12.0"/>
      <color rgb="FF000000"/>
      <name val="Roboto"/>
    </font>
    <font>
      <b/>
      <color rgb="FF000000"/>
      <name val="Roboto"/>
    </font>
    <font>
      <b/>
      <sz val="8.0"/>
      <color rgb="FFFF0000"/>
      <name val="Roboto"/>
    </font>
    <font>
      <color theme="1"/>
      <name val="Roboto"/>
    </font>
    <font>
      <color rgb="FFFF0000"/>
      <name val="Roboto"/>
    </font>
    <font>
      <color rgb="FFFF0000"/>
      <name val="Arial"/>
    </font>
    <font>
      <sz val="12.0"/>
      <color rgb="FF000000"/>
      <name val="Arial"/>
    </font>
    <font>
      <sz val="12.0"/>
      <color rgb="FFFF0000"/>
      <name val="Roboto"/>
    </font>
    <font>
      <b/>
      <sz val="12.0"/>
      <color rgb="FFFF0000"/>
      <name val="Roboto"/>
    </font>
    <font>
      <b/>
      <sz val="12.0"/>
      <color rgb="FFFF0000"/>
      <name val="Arial"/>
    </font>
    <font>
      <b/>
      <color rgb="FFFF0000"/>
      <name val="Arial"/>
    </font>
    <font>
      <b/>
      <sz val="16.0"/>
      <color theme="1"/>
      <name val="Arial"/>
      <scheme val="minor"/>
    </font>
    <font>
      <b/>
      <color theme="1"/>
      <name val="Arial"/>
      <scheme val="minor"/>
    </font>
    <font>
      <color rgb="FFFF0000"/>
      <name val="Arial"/>
      <scheme val="minor"/>
    </font>
    <font>
      <b/>
      <sz val="11.0"/>
      <color theme="1"/>
      <name val="Arial"/>
      <scheme val="minor"/>
    </font>
    <font>
      <b/>
      <sz val="11.0"/>
      <color theme="1"/>
      <name val="Trebuchet MS"/>
    </font>
    <font>
      <sz val="11.0"/>
      <color theme="1"/>
      <name val="Trebuchet MS"/>
    </font>
    <font>
      <sz val="11.0"/>
      <color rgb="FFFF0000"/>
      <name val="Trebuchet MS"/>
    </font>
  </fonts>
  <fills count="28">
    <fill>
      <patternFill patternType="none"/>
    </fill>
    <fill>
      <patternFill patternType="lightGray"/>
    </fill>
    <fill>
      <patternFill patternType="solid">
        <fgColor rgb="FFFFFF00"/>
        <bgColor rgb="FFFFFF00"/>
      </patternFill>
    </fill>
    <fill>
      <patternFill patternType="solid">
        <fgColor rgb="FFF4CCCC"/>
        <bgColor rgb="FFF4CCCC"/>
      </patternFill>
    </fill>
    <fill>
      <patternFill patternType="solid">
        <fgColor rgb="FFC27BA0"/>
        <bgColor rgb="FFC27BA0"/>
      </patternFill>
    </fill>
    <fill>
      <patternFill patternType="solid">
        <fgColor rgb="FF8E7CC3"/>
        <bgColor rgb="FF8E7CC3"/>
      </patternFill>
    </fill>
    <fill>
      <patternFill patternType="solid">
        <fgColor rgb="FF6FA8DC"/>
        <bgColor rgb="FF6FA8DC"/>
      </patternFill>
    </fill>
    <fill>
      <patternFill patternType="solid">
        <fgColor rgb="FFFFFFFF"/>
        <bgColor rgb="FFFFFFFF"/>
      </patternFill>
    </fill>
    <fill>
      <patternFill patternType="solid">
        <fgColor rgb="FFFF0000"/>
        <bgColor rgb="FFFF0000"/>
      </patternFill>
    </fill>
    <fill>
      <patternFill patternType="solid">
        <fgColor rgb="FFB6D7A8"/>
        <bgColor rgb="FFB6D7A8"/>
      </patternFill>
    </fill>
    <fill>
      <patternFill patternType="solid">
        <fgColor rgb="FFD9EAD3"/>
        <bgColor rgb="FFD9EAD3"/>
      </patternFill>
    </fill>
    <fill>
      <patternFill patternType="solid">
        <fgColor rgb="FFFFF2CC"/>
        <bgColor rgb="FFFFF2CC"/>
      </patternFill>
    </fill>
    <fill>
      <patternFill patternType="solid">
        <fgColor rgb="FF00FF00"/>
        <bgColor rgb="FF00FF00"/>
      </patternFill>
    </fill>
    <fill>
      <patternFill patternType="solid">
        <fgColor rgb="FFCFE2F3"/>
        <bgColor rgb="FFCFE2F3"/>
      </patternFill>
    </fill>
    <fill>
      <patternFill patternType="solid">
        <fgColor theme="0"/>
        <bgColor theme="0"/>
      </patternFill>
    </fill>
    <fill>
      <patternFill patternType="solid">
        <fgColor rgb="FFFCE5CD"/>
        <bgColor rgb="FFFCE5CD"/>
      </patternFill>
    </fill>
    <fill>
      <patternFill patternType="solid">
        <fgColor rgb="FF64AD7B"/>
        <bgColor rgb="FF64AD7B"/>
      </patternFill>
    </fill>
    <fill>
      <patternFill patternType="solid">
        <fgColor rgb="FFF6F8F9"/>
        <bgColor rgb="FFF6F8F9"/>
      </patternFill>
    </fill>
    <fill>
      <patternFill patternType="solid">
        <fgColor rgb="FF79AAB9"/>
        <bgColor rgb="FF79AAB9"/>
      </patternFill>
    </fill>
    <fill>
      <patternFill patternType="solid">
        <fgColor rgb="FFB27474"/>
        <bgColor rgb="FFB27474"/>
      </patternFill>
    </fill>
    <fill>
      <patternFill patternType="solid">
        <fgColor rgb="FFD0E0E3"/>
        <bgColor rgb="FFD0E0E3"/>
      </patternFill>
    </fill>
    <fill>
      <patternFill patternType="solid">
        <fgColor rgb="FFE06666"/>
        <bgColor rgb="FFE06666"/>
      </patternFill>
    </fill>
    <fill>
      <patternFill patternType="solid">
        <fgColor rgb="FF7EE17E"/>
        <bgColor rgb="FF7EE17E"/>
      </patternFill>
    </fill>
    <fill>
      <patternFill patternType="solid">
        <fgColor rgb="FFFFDE7E"/>
        <bgColor rgb="FFFFDE7E"/>
      </patternFill>
    </fill>
    <fill>
      <patternFill patternType="solid">
        <fgColor rgb="FFF3F3F3"/>
        <bgColor rgb="FFF3F3F3"/>
      </patternFill>
    </fill>
    <fill>
      <patternFill patternType="solid">
        <fgColor rgb="FFD9D2E9"/>
        <bgColor rgb="FFD9D2E9"/>
      </patternFill>
    </fill>
    <fill>
      <patternFill patternType="solid">
        <fgColor rgb="FFA4C2F4"/>
        <bgColor rgb="FFA4C2F4"/>
      </patternFill>
    </fill>
    <fill>
      <patternFill patternType="solid">
        <fgColor rgb="FFEAD1DC"/>
        <bgColor rgb="FFEAD1DC"/>
      </patternFill>
    </fill>
  </fills>
  <borders count="2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border>
    <border>
      <left style="thin">
        <color rgb="FF4B825C"/>
      </left>
      <right style="thin">
        <color rgb="FF64AD7B"/>
      </right>
      <top style="thin">
        <color rgb="FF4B825C"/>
      </top>
      <bottom style="thin">
        <color rgb="FF4B825C"/>
      </bottom>
    </border>
    <border>
      <left style="thin">
        <color rgb="FF64AD7B"/>
      </left>
      <right style="thin">
        <color rgb="FF64AD7B"/>
      </right>
      <top style="thin">
        <color rgb="FF4B825C"/>
      </top>
      <bottom style="thin">
        <color rgb="FF4B825C"/>
      </bottom>
    </border>
    <border>
      <left style="thin">
        <color rgb="FF64AD7B"/>
      </left>
      <right style="thin">
        <color rgb="FF4B825C"/>
      </right>
      <top style="thin">
        <color rgb="FF4B825C"/>
      </top>
      <bottom style="thin">
        <color rgb="FF4B825C"/>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5B808B"/>
      </left>
      <right style="thin">
        <color rgb="FF79AAB9"/>
      </right>
      <top style="thin">
        <color rgb="FF5B808B"/>
      </top>
      <bottom style="thin">
        <color rgb="FF5B808B"/>
      </bottom>
    </border>
    <border>
      <left style="thin">
        <color rgb="FF79AAB9"/>
      </left>
      <right style="thin">
        <color rgb="FF79AAB9"/>
      </right>
      <top style="thin">
        <color rgb="FF5B808B"/>
      </top>
      <bottom style="thin">
        <color rgb="FF5B808B"/>
      </bottom>
    </border>
    <border>
      <left style="thin">
        <color rgb="FF79AAB9"/>
      </left>
      <right style="thin">
        <color rgb="FF5B808B"/>
      </right>
      <top style="thin">
        <color rgb="FF5B808B"/>
      </top>
      <bottom style="thin">
        <color rgb="FF5B808B"/>
      </bottom>
    </border>
    <border>
      <top style="thin">
        <color rgb="FF000000"/>
      </top>
    </border>
    <border>
      <bottom style="thin">
        <color rgb="FF000000"/>
      </bottom>
    </border>
    <border>
      <left style="thin">
        <color rgb="FF865757"/>
      </left>
      <right style="thin">
        <color rgb="FFB27474"/>
      </right>
      <top style="thin">
        <color rgb="FF865757"/>
      </top>
      <bottom style="thin">
        <color rgb="FF865757"/>
      </bottom>
    </border>
    <border>
      <left style="thin">
        <color rgb="FFB27474"/>
      </left>
      <right style="thin">
        <color rgb="FFB27474"/>
      </right>
      <top style="thin">
        <color rgb="FF865757"/>
      </top>
      <bottom style="thin">
        <color rgb="FF865757"/>
      </bottom>
    </border>
    <border>
      <left style="thin">
        <color rgb="FFB27474"/>
      </left>
      <right style="thin">
        <color rgb="FF865757"/>
      </right>
      <top style="thin">
        <color rgb="FF865757"/>
      </top>
      <bottom style="thin">
        <color rgb="FF865757"/>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Font="1"/>
    <xf borderId="0" fillId="0" fontId="3" numFmtId="0" xfId="0" applyAlignment="1" applyFont="1">
      <alignment readingOrder="0"/>
    </xf>
    <xf borderId="0" fillId="2" fontId="4" numFmtId="0" xfId="0" applyAlignment="1" applyFill="1" applyFont="1">
      <alignment readingOrder="0"/>
    </xf>
    <xf borderId="1" fillId="3" fontId="5" numFmtId="0" xfId="0" applyBorder="1" applyFill="1" applyFont="1"/>
    <xf borderId="1" fillId="3" fontId="5" numFmtId="0" xfId="0" applyAlignment="1" applyBorder="1" applyFont="1">
      <alignment readingOrder="0" shrinkToFit="0" vertical="center" wrapText="1"/>
    </xf>
    <xf borderId="0" fillId="3" fontId="2" numFmtId="0" xfId="0" applyFont="1"/>
    <xf borderId="2" fillId="4" fontId="6" numFmtId="0" xfId="0" applyAlignment="1" applyBorder="1" applyFill="1" applyFont="1">
      <alignment horizontal="center" readingOrder="0" vertical="center"/>
    </xf>
    <xf borderId="1" fillId="4" fontId="7" numFmtId="0" xfId="0" applyAlignment="1" applyBorder="1" applyFont="1">
      <alignment readingOrder="0" vertical="center"/>
    </xf>
    <xf borderId="1" fillId="0" fontId="7" numFmtId="0" xfId="0" applyAlignment="1" applyBorder="1" applyFont="1">
      <alignment readingOrder="0" vertical="center"/>
    </xf>
    <xf borderId="1" fillId="0" fontId="5" numFmtId="0" xfId="0" applyAlignment="1" applyBorder="1" applyFont="1">
      <alignment readingOrder="0" shrinkToFit="0" vertical="center" wrapText="1"/>
    </xf>
    <xf borderId="1" fillId="0" fontId="8" numFmtId="0" xfId="0" applyAlignment="1" applyBorder="1" applyFont="1">
      <alignment readingOrder="0" shrinkToFit="0" vertical="center" wrapText="1"/>
    </xf>
    <xf borderId="3" fillId="0" fontId="9" numFmtId="0" xfId="0" applyBorder="1" applyFont="1"/>
    <xf borderId="1" fillId="4" fontId="6"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5" numFmtId="0" xfId="0" applyAlignment="1" applyBorder="1" applyFont="1">
      <alignment shrinkToFit="0" wrapText="1"/>
    </xf>
    <xf borderId="1" fillId="0" fontId="5" numFmtId="0" xfId="0" applyAlignment="1" applyBorder="1" applyFont="1">
      <alignment readingOrder="0" shrinkToFit="0" wrapText="1"/>
    </xf>
    <xf borderId="1" fillId="0" fontId="8" numFmtId="0" xfId="0" applyAlignment="1" applyBorder="1" applyFont="1">
      <alignment readingOrder="0" shrinkToFit="0" wrapText="1"/>
    </xf>
    <xf borderId="1" fillId="0" fontId="10" numFmtId="0" xfId="0" applyAlignment="1" applyBorder="1" applyFont="1">
      <alignment readingOrder="0" shrinkToFit="0" vertical="bottom" wrapText="1"/>
    </xf>
    <xf borderId="1" fillId="0" fontId="11" numFmtId="0" xfId="0" applyAlignment="1" applyBorder="1" applyFont="1">
      <alignment readingOrder="0" shrinkToFit="0" wrapText="1"/>
    </xf>
    <xf borderId="1" fillId="0" fontId="11" numFmtId="0" xfId="0" applyBorder="1" applyFont="1"/>
    <xf borderId="1" fillId="0" fontId="11" numFmtId="0" xfId="0" applyAlignment="1" applyBorder="1" applyFont="1">
      <alignment readingOrder="0"/>
    </xf>
    <xf borderId="0" fillId="0" fontId="8" numFmtId="0" xfId="0" applyFont="1"/>
    <xf borderId="1" fillId="2" fontId="6" numFmtId="0" xfId="0" applyAlignment="1" applyBorder="1" applyFont="1">
      <alignment readingOrder="0" shrinkToFit="0" vertical="center" wrapText="1"/>
    </xf>
    <xf borderId="1" fillId="2" fontId="5" numFmtId="0" xfId="0" applyAlignment="1" applyBorder="1" applyFont="1">
      <alignment readingOrder="0" shrinkToFit="0" vertical="center" wrapText="1"/>
    </xf>
    <xf borderId="1" fillId="2" fontId="5" numFmtId="0" xfId="0" applyAlignment="1" applyBorder="1" applyFont="1">
      <alignment shrinkToFit="0" vertical="center" wrapText="1"/>
    </xf>
    <xf borderId="1" fillId="2" fontId="8"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5" numFmtId="0" xfId="0" applyAlignment="1" applyBorder="1" applyFont="1">
      <alignment shrinkToFit="0" vertical="center" wrapText="1"/>
    </xf>
    <xf borderId="1" fillId="4" fontId="13" numFmtId="0" xfId="0" applyAlignment="1" applyBorder="1" applyFont="1">
      <alignment readingOrder="0" shrinkToFit="0" vertical="center" wrapText="1"/>
    </xf>
    <xf borderId="1" fillId="0" fontId="13" numFmtId="0" xfId="0" applyAlignment="1" applyBorder="1" applyFont="1">
      <alignment readingOrder="0" shrinkToFit="0" vertical="center" wrapText="1"/>
    </xf>
    <xf borderId="1" fillId="2" fontId="13" numFmtId="0" xfId="0" applyAlignment="1" applyBorder="1" applyFont="1">
      <alignment readingOrder="0" shrinkToFit="0" wrapText="1"/>
    </xf>
    <xf borderId="1" fillId="2" fontId="8" numFmtId="0" xfId="0" applyAlignment="1" applyBorder="1" applyFont="1">
      <alignment shrinkToFit="0" vertical="center" wrapText="1"/>
    </xf>
    <xf borderId="4" fillId="0" fontId="9" numFmtId="0" xfId="0" applyBorder="1" applyFont="1"/>
    <xf borderId="1" fillId="0" fontId="8" numFmtId="0" xfId="0" applyAlignment="1" applyBorder="1" applyFont="1">
      <alignment shrinkToFit="0" vertical="center" wrapText="1"/>
    </xf>
    <xf borderId="2" fillId="5" fontId="6" numFmtId="0" xfId="0" applyAlignment="1" applyBorder="1" applyFill="1" applyFont="1">
      <alignment horizontal="center" readingOrder="0" vertical="center"/>
    </xf>
    <xf borderId="1" fillId="5" fontId="5" numFmtId="0" xfId="0" applyAlignment="1" applyBorder="1" applyFont="1">
      <alignment readingOrder="0" shrinkToFit="0" vertical="center" wrapText="1"/>
    </xf>
    <xf borderId="1" fillId="5" fontId="2" numFmtId="0" xfId="0" applyAlignment="1" applyBorder="1" applyFont="1">
      <alignment readingOrder="0" vertical="center"/>
    </xf>
    <xf borderId="1" fillId="0" fontId="8" numFmtId="0" xfId="0" applyAlignment="1" applyBorder="1" applyFont="1">
      <alignment readingOrder="0" vertical="center"/>
    </xf>
    <xf borderId="1" fillId="2" fontId="14" numFmtId="0" xfId="0" applyAlignment="1" applyBorder="1" applyFont="1">
      <alignment readingOrder="0" shrinkToFit="0" vertical="center" wrapText="1"/>
    </xf>
    <xf borderId="2" fillId="6" fontId="6" numFmtId="0" xfId="0" applyAlignment="1" applyBorder="1" applyFill="1" applyFont="1">
      <alignment horizontal="center" readingOrder="0" vertical="center"/>
    </xf>
    <xf borderId="1" fillId="6" fontId="5" numFmtId="0" xfId="0" applyAlignment="1" applyBorder="1" applyFont="1">
      <alignment readingOrder="0" shrinkToFit="0" vertical="center" wrapText="1"/>
    </xf>
    <xf borderId="1" fillId="6" fontId="8" numFmtId="0" xfId="0" applyAlignment="1" applyBorder="1" applyFont="1">
      <alignment readingOrder="0" shrinkToFit="0" vertical="center" wrapText="1"/>
    </xf>
    <xf borderId="1" fillId="0" fontId="2" numFmtId="0" xfId="0" applyAlignment="1" applyBorder="1" applyFont="1">
      <alignment readingOrder="0" vertical="center"/>
    </xf>
    <xf borderId="1" fillId="7" fontId="8" numFmtId="0" xfId="0" applyAlignment="1" applyBorder="1" applyFill="1" applyFont="1">
      <alignment readingOrder="0" shrinkToFit="0" vertical="center" wrapText="1"/>
    </xf>
    <xf borderId="1" fillId="7" fontId="8" numFmtId="0" xfId="0" applyAlignment="1" applyBorder="1" applyFont="1">
      <alignment shrinkToFit="0" vertical="center" wrapText="1"/>
    </xf>
    <xf borderId="1" fillId="8" fontId="2" numFmtId="0" xfId="0" applyAlignment="1" applyBorder="1" applyFill="1" applyFont="1">
      <alignment readingOrder="0" vertical="center"/>
    </xf>
    <xf borderId="1" fillId="8" fontId="8" numFmtId="0" xfId="0" applyAlignment="1" applyBorder="1" applyFont="1">
      <alignment readingOrder="0" shrinkToFit="0" vertical="center" wrapText="1"/>
    </xf>
    <xf borderId="2" fillId="9" fontId="6" numFmtId="0" xfId="0" applyAlignment="1" applyBorder="1" applyFill="1" applyFont="1">
      <alignment horizontal="center" readingOrder="0" textRotation="255" vertical="center"/>
    </xf>
    <xf borderId="1" fillId="9" fontId="5" numFmtId="0" xfId="0" applyAlignment="1" applyBorder="1" applyFont="1">
      <alignment readingOrder="0" shrinkToFit="0" vertical="center" wrapText="1"/>
    </xf>
    <xf borderId="1" fillId="9" fontId="5" numFmtId="0" xfId="0" applyAlignment="1" applyBorder="1" applyFont="1">
      <alignment shrinkToFit="0" vertical="center" wrapText="1"/>
    </xf>
    <xf borderId="1" fillId="9" fontId="8" numFmtId="0" xfId="0" applyAlignment="1" applyBorder="1" applyFont="1">
      <alignment readingOrder="0" shrinkToFit="0" vertical="center" wrapText="1"/>
    </xf>
    <xf borderId="1" fillId="9" fontId="2" numFmtId="0" xfId="0" applyAlignment="1" applyBorder="1" applyFont="1">
      <alignment readingOrder="0" shrinkToFit="0" vertical="center" wrapText="1"/>
    </xf>
    <xf borderId="1" fillId="9" fontId="8" numFmtId="0" xfId="0" applyAlignment="1" applyBorder="1" applyFont="1">
      <alignment shrinkToFit="0" vertical="center" wrapText="1"/>
    </xf>
    <xf borderId="5" fillId="9" fontId="8" numFmtId="0" xfId="0" applyAlignment="1" applyBorder="1" applyFont="1">
      <alignment readingOrder="0" shrinkToFit="0" vertical="center" wrapText="1"/>
    </xf>
    <xf borderId="6" fillId="0" fontId="9" numFmtId="0" xfId="0" applyBorder="1" applyFont="1"/>
    <xf borderId="1" fillId="9" fontId="11" numFmtId="0" xfId="0" applyAlignment="1" applyBorder="1" applyFont="1">
      <alignment readingOrder="0" shrinkToFit="0" vertical="center" wrapText="1"/>
    </xf>
    <xf borderId="1" fillId="9" fontId="15" numFmtId="0" xfId="0" applyAlignment="1" applyBorder="1" applyFont="1">
      <alignment readingOrder="0" shrinkToFit="0" vertical="center" wrapText="1"/>
    </xf>
    <xf borderId="1" fillId="9" fontId="15" numFmtId="0" xfId="0" applyAlignment="1" applyBorder="1" applyFont="1">
      <alignment shrinkToFit="0" wrapText="1"/>
    </xf>
    <xf borderId="1" fillId="9" fontId="15" numFmtId="0" xfId="0" applyAlignment="1" applyBorder="1" applyFont="1">
      <alignment readingOrder="0" shrinkToFit="0" wrapText="1"/>
    </xf>
    <xf borderId="1" fillId="9" fontId="11" numFmtId="0" xfId="0" applyAlignment="1" applyBorder="1" applyFont="1">
      <alignment shrinkToFit="0" vertical="center" wrapText="1"/>
    </xf>
    <xf borderId="1" fillId="9" fontId="8" numFmtId="0" xfId="0" applyAlignment="1" applyBorder="1" applyFont="1">
      <alignment readingOrder="0" shrinkToFit="0" wrapText="1"/>
    </xf>
    <xf borderId="0" fillId="0" fontId="16"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0" fontId="11" numFmtId="0" xfId="0" applyFont="1"/>
    <xf borderId="0" fillId="0" fontId="17" numFmtId="0" xfId="0" applyAlignment="1" applyFont="1">
      <alignment horizontal="center" readingOrder="0" shrinkToFit="0" vertical="center" wrapText="0"/>
    </xf>
    <xf borderId="0" fillId="0" fontId="17" numFmtId="0" xfId="0" applyAlignment="1" applyFont="1">
      <alignment horizontal="left" readingOrder="0" shrinkToFit="0" vertical="center" wrapText="0"/>
    </xf>
    <xf borderId="0" fillId="0" fontId="18" numFmtId="0" xfId="0" applyAlignment="1" applyFont="1">
      <alignment horizontal="center" readingOrder="0" shrinkToFit="0" vertical="center" wrapText="1"/>
    </xf>
    <xf borderId="0" fillId="5" fontId="19" numFmtId="0" xfId="0" applyAlignment="1" applyFont="1">
      <alignment horizontal="center" shrinkToFit="0" vertical="center" wrapText="1"/>
    </xf>
    <xf borderId="1" fillId="5" fontId="19" numFmtId="0" xfId="0" applyAlignment="1" applyBorder="1" applyFont="1">
      <alignment horizontal="center" shrinkToFit="0" vertical="center" wrapText="1"/>
    </xf>
    <xf borderId="1" fillId="5" fontId="19" numFmtId="0" xfId="0" applyAlignment="1" applyBorder="1" applyFont="1">
      <alignment horizontal="center" readingOrder="0" shrinkToFit="0" vertical="center" wrapText="1"/>
    </xf>
    <xf borderId="0" fillId="5" fontId="19" numFmtId="0" xfId="0" applyAlignment="1" applyFont="1">
      <alignment horizontal="center" readingOrder="0" shrinkToFit="0" vertical="center" wrapText="1"/>
    </xf>
    <xf borderId="1" fillId="0" fontId="11" numFmtId="0" xfId="0" applyAlignment="1" applyBorder="1" applyFont="1">
      <alignment readingOrder="0" shrinkToFit="0" vertical="center" wrapText="1"/>
    </xf>
    <xf borderId="1" fillId="10" fontId="11" numFmtId="0" xfId="0" applyAlignment="1" applyBorder="1" applyFill="1" applyFont="1">
      <alignment readingOrder="0" shrinkToFit="0" vertical="center" wrapText="1"/>
    </xf>
    <xf borderId="0" fillId="0" fontId="14" numFmtId="0" xfId="0" applyAlignment="1" applyFont="1">
      <alignment readingOrder="0"/>
    </xf>
    <xf borderId="2" fillId="0" fontId="11" numFmtId="0" xfId="0" applyAlignment="1" applyBorder="1" applyFont="1">
      <alignment readingOrder="0" shrinkToFit="0" vertical="center" wrapText="1"/>
    </xf>
    <xf borderId="1" fillId="0" fontId="11" numFmtId="0" xfId="0" applyAlignment="1" applyBorder="1" applyFont="1">
      <alignment horizontal="center" readingOrder="0" shrinkToFit="0" vertical="center" wrapText="1"/>
    </xf>
    <xf borderId="1" fillId="0" fontId="11" numFmtId="0" xfId="0" applyAlignment="1" applyBorder="1" applyFont="1">
      <alignment shrinkToFit="0" vertical="center" wrapText="1"/>
    </xf>
    <xf borderId="1" fillId="11" fontId="11" numFmtId="0" xfId="0" applyAlignment="1" applyBorder="1" applyFill="1" applyFont="1">
      <alignment readingOrder="0" shrinkToFit="0" vertical="center" wrapText="1"/>
    </xf>
    <xf borderId="1" fillId="0" fontId="20" numFmtId="0" xfId="0" applyAlignment="1" applyBorder="1" applyFont="1">
      <alignment readingOrder="0" shrinkToFit="0" vertical="center" wrapText="1"/>
    </xf>
    <xf borderId="0" fillId="0" fontId="14" numFmtId="0" xfId="0" applyFont="1"/>
    <xf borderId="1" fillId="7" fontId="11" numFmtId="0" xfId="0" applyAlignment="1" applyBorder="1" applyFont="1">
      <alignment readingOrder="0" shrinkToFit="0" vertical="center" wrapText="1"/>
    </xf>
    <xf borderId="0" fillId="2" fontId="21" numFmtId="0" xfId="0" applyAlignment="1" applyFont="1">
      <alignment readingOrder="0"/>
    </xf>
    <xf borderId="0" fillId="2" fontId="11" numFmtId="0" xfId="0" applyFont="1"/>
    <xf borderId="1" fillId="10" fontId="8" numFmtId="0" xfId="0" applyAlignment="1" applyBorder="1" applyFont="1">
      <alignment readingOrder="0" shrinkToFit="0" vertical="center" wrapText="1"/>
    </xf>
    <xf borderId="0" fillId="0" fontId="11" numFmtId="0" xfId="0" applyAlignment="1" applyFont="1">
      <alignment readingOrder="0"/>
    </xf>
    <xf borderId="1" fillId="0" fontId="11" numFmtId="0" xfId="0" applyAlignment="1" applyBorder="1" applyFont="1">
      <alignment horizontal="left" readingOrder="0" shrinkToFit="0" vertical="center" wrapText="1"/>
    </xf>
    <xf borderId="0" fillId="0" fontId="12" numFmtId="0" xfId="0" applyFont="1"/>
    <xf borderId="1" fillId="0" fontId="12" numFmtId="0" xfId="0" applyAlignment="1" applyBorder="1" applyFont="1">
      <alignment shrinkToFit="0" vertical="center" wrapText="1"/>
    </xf>
    <xf borderId="1" fillId="10" fontId="8" numFmtId="0" xfId="0" applyAlignment="1" applyBorder="1" applyFont="1">
      <alignment horizontal="left" readingOrder="0" shrinkToFit="0" vertical="center" wrapText="1"/>
    </xf>
    <xf borderId="1" fillId="11" fontId="8" numFmtId="0" xfId="0" applyAlignment="1" applyBorder="1" applyFont="1">
      <alignment horizontal="left" readingOrder="0" shrinkToFit="0" vertical="center" wrapText="1"/>
    </xf>
    <xf borderId="1" fillId="11" fontId="8" numFmtId="0" xfId="0" applyAlignment="1" applyBorder="1" applyFont="1">
      <alignment readingOrder="0" shrinkToFit="0" vertical="center" wrapText="1"/>
    </xf>
    <xf borderId="1" fillId="11" fontId="11" numFmtId="0" xfId="0" applyAlignment="1" applyBorder="1" applyFont="1">
      <alignment horizontal="left" readingOrder="0" shrinkToFit="0" vertical="center" wrapText="1"/>
    </xf>
    <xf borderId="1" fillId="0" fontId="11" numFmtId="0" xfId="0" applyAlignment="1" applyBorder="1" applyFont="1">
      <alignment horizontal="right" readingOrder="0" shrinkToFit="0" vertical="center" wrapText="1"/>
    </xf>
    <xf borderId="1" fillId="0" fontId="14" numFmtId="0" xfId="0" applyAlignment="1" applyBorder="1" applyFont="1">
      <alignment horizontal="right" readingOrder="0" shrinkToFit="0" vertical="center" wrapText="1"/>
    </xf>
    <xf borderId="1" fillId="0" fontId="14" numFmtId="0" xfId="0" applyAlignment="1" applyBorder="1" applyFont="1">
      <alignment horizontal="left" readingOrder="0" shrinkToFit="0" vertical="center" wrapText="1"/>
    </xf>
    <xf borderId="1" fillId="0" fontId="14" numFmtId="0" xfId="0" applyAlignment="1" applyBorder="1" applyFont="1">
      <alignment readingOrder="0" shrinkToFit="0" vertical="center" wrapText="1"/>
    </xf>
    <xf borderId="1" fillId="0" fontId="14" numFmtId="0" xfId="0" applyAlignment="1" applyBorder="1" applyFont="1">
      <alignment shrinkToFit="0" vertical="center" wrapText="1"/>
    </xf>
    <xf borderId="1" fillId="12" fontId="12" numFmtId="0" xfId="0" applyAlignment="1" applyBorder="1" applyFill="1" applyFont="1">
      <alignment horizontal="center" readingOrder="0" shrinkToFit="0" vertical="center" wrapText="1"/>
    </xf>
    <xf borderId="1" fillId="12" fontId="12" numFmtId="0" xfId="0" applyAlignment="1" applyBorder="1" applyFont="1">
      <alignment horizontal="right" readingOrder="0" shrinkToFit="0" vertical="center" wrapText="1"/>
    </xf>
    <xf borderId="5" fillId="12" fontId="14" numFmtId="0" xfId="0" applyAlignment="1" applyBorder="1" applyFont="1">
      <alignment readingOrder="0" shrinkToFit="0" vertical="center" wrapText="1"/>
    </xf>
    <xf borderId="7" fillId="0" fontId="9" numFmtId="0" xfId="0" applyBorder="1" applyFont="1"/>
    <xf borderId="0" fillId="0" fontId="12" numFmtId="0" xfId="0" applyAlignment="1" applyFont="1">
      <alignment readingOrder="0"/>
    </xf>
    <xf borderId="1" fillId="13" fontId="12" numFmtId="0" xfId="0" applyAlignment="1" applyBorder="1" applyFill="1" applyFont="1">
      <alignment horizontal="center" readingOrder="0" shrinkToFit="0" vertical="center" wrapText="1"/>
    </xf>
    <xf borderId="1" fillId="13" fontId="12" numFmtId="0" xfId="0" applyAlignment="1" applyBorder="1" applyFont="1">
      <alignment horizontal="right" readingOrder="0" shrinkToFit="0" vertical="center" wrapText="1"/>
    </xf>
    <xf borderId="5" fillId="13" fontId="11" numFmtId="0" xfId="0" applyAlignment="1" applyBorder="1" applyFont="1">
      <alignment readingOrder="0" shrinkToFit="0" vertical="center" wrapText="1"/>
    </xf>
    <xf borderId="0" fillId="0" fontId="22" numFmtId="0" xfId="0" applyAlignment="1" applyFont="1">
      <alignment readingOrder="0" shrinkToFit="0" wrapText="1"/>
    </xf>
    <xf borderId="0" fillId="0" fontId="11" numFmtId="0" xfId="0" applyAlignment="1" applyFont="1">
      <alignment horizontal="center" readingOrder="0"/>
    </xf>
    <xf borderId="0" fillId="0" fontId="11" numFmtId="0" xfId="0" applyAlignment="1" applyFont="1">
      <alignment horizontal="center"/>
    </xf>
    <xf borderId="0" fillId="0" fontId="22" numFmtId="0" xfId="0" applyAlignment="1" applyFont="1">
      <alignment readingOrder="0"/>
    </xf>
    <xf borderId="5" fillId="12" fontId="12" numFmtId="0" xfId="0" applyAlignment="1" applyBorder="1" applyFont="1">
      <alignment horizontal="center" readingOrder="0" shrinkToFit="0" vertical="center" wrapText="1"/>
    </xf>
    <xf borderId="1" fillId="0" fontId="11" numFmtId="0" xfId="0" applyAlignment="1" applyBorder="1" applyFont="1">
      <alignment horizontal="center" shrinkToFit="0" vertical="center" wrapText="1"/>
    </xf>
    <xf borderId="1" fillId="0" fontId="12" numFmtId="0" xfId="0" applyAlignment="1" applyBorder="1" applyFont="1">
      <alignment readingOrder="0"/>
    </xf>
    <xf borderId="0" fillId="0" fontId="11" numFmtId="0" xfId="0" applyAlignment="1" applyFont="1">
      <alignment shrinkToFit="0" wrapText="1"/>
    </xf>
    <xf borderId="1" fillId="0" fontId="11" numFmtId="0" xfId="0" applyAlignment="1" applyBorder="1" applyFont="1">
      <alignment horizontal="left" readingOrder="0" shrinkToFit="0" wrapText="1"/>
    </xf>
    <xf borderId="1" fillId="0" fontId="11" numFmtId="0" xfId="0" applyAlignment="1" applyBorder="1" applyFont="1">
      <alignment readingOrder="0" vertical="center"/>
    </xf>
    <xf borderId="1" fillId="0" fontId="11" numFmtId="0" xfId="0" applyAlignment="1" applyBorder="1" applyFont="1">
      <alignment horizontal="center" vertical="center"/>
    </xf>
    <xf borderId="1" fillId="0" fontId="11" numFmtId="0" xfId="0" applyAlignment="1" applyBorder="1" applyFont="1">
      <alignment vertical="center"/>
    </xf>
    <xf borderId="1" fillId="0" fontId="11" numFmtId="0" xfId="0" applyAlignment="1" applyBorder="1" applyFont="1">
      <alignment horizontal="left" readingOrder="0" vertical="center"/>
    </xf>
    <xf borderId="1" fillId="0" fontId="14" numFmtId="0" xfId="0" applyAlignment="1" applyBorder="1" applyFont="1">
      <alignment readingOrder="0" shrinkToFit="0" wrapText="1"/>
    </xf>
    <xf borderId="1" fillId="0" fontId="14" numFmtId="0" xfId="0" applyAlignment="1" applyBorder="1" applyFont="1">
      <alignment horizontal="left" readingOrder="0" vertical="center"/>
    </xf>
    <xf borderId="1" fillId="2" fontId="23" numFmtId="0" xfId="0" applyAlignment="1" applyBorder="1" applyFont="1">
      <alignment horizontal="left" readingOrder="0" shrinkToFit="0" vertical="center" wrapText="1"/>
    </xf>
    <xf borderId="1" fillId="2" fontId="11" numFmtId="0" xfId="0" applyAlignment="1" applyBorder="1" applyFont="1">
      <alignment vertical="center"/>
    </xf>
    <xf borderId="1" fillId="2" fontId="11" numFmtId="0" xfId="0" applyAlignment="1" applyBorder="1" applyFont="1">
      <alignment horizontal="center" readingOrder="0" vertical="center"/>
    </xf>
    <xf borderId="1" fillId="2" fontId="11" numFmtId="0" xfId="0" applyAlignment="1" applyBorder="1" applyFont="1">
      <alignment readingOrder="0" shrinkToFit="0" vertical="center" wrapText="1"/>
    </xf>
    <xf borderId="1" fillId="2" fontId="11" numFmtId="0" xfId="0" applyAlignment="1" applyBorder="1" applyFont="1">
      <alignment readingOrder="0" vertical="center"/>
    </xf>
    <xf borderId="1" fillId="2" fontId="11" numFmtId="0" xfId="0" applyAlignment="1" applyBorder="1" applyFont="1">
      <alignment horizontal="left" readingOrder="0" vertical="center"/>
    </xf>
    <xf borderId="1" fillId="2" fontId="11" numFmtId="0" xfId="0" applyAlignment="1" applyBorder="1" applyFont="1">
      <alignment horizontal="center" readingOrder="0" shrinkToFit="0" vertical="center" wrapText="1"/>
    </xf>
    <xf borderId="1" fillId="0" fontId="11" numFmtId="0" xfId="0" applyAlignment="1" applyBorder="1" applyFont="1">
      <alignment horizontal="center" readingOrder="0" vertical="center"/>
    </xf>
    <xf borderId="0" fillId="0" fontId="24" numFmtId="0" xfId="0" applyAlignment="1" applyFont="1">
      <alignment readingOrder="0" shrinkToFit="0" wrapText="1"/>
    </xf>
    <xf borderId="1" fillId="0" fontId="22" numFmtId="0" xfId="0" applyAlignment="1" applyBorder="1" applyFont="1">
      <alignment readingOrder="0" shrinkToFit="0" wrapText="1"/>
    </xf>
    <xf borderId="1" fillId="0" fontId="11" numFmtId="0" xfId="0" applyAlignment="1" applyBorder="1" applyFont="1">
      <alignment horizontal="center" readingOrder="0"/>
    </xf>
    <xf borderId="1" fillId="0" fontId="11" numFmtId="0" xfId="0" applyAlignment="1" applyBorder="1" applyFont="1">
      <alignment horizontal="center"/>
    </xf>
    <xf borderId="1" fillId="0" fontId="22" numFmtId="0" xfId="0" applyAlignment="1" applyBorder="1" applyFont="1">
      <alignment readingOrder="0"/>
    </xf>
    <xf borderId="1" fillId="0" fontId="12" numFmtId="0" xfId="0" applyBorder="1" applyFont="1"/>
    <xf borderId="0" fillId="0" fontId="21" numFmtId="0" xfId="0" applyFont="1"/>
    <xf borderId="0" fillId="0" fontId="24" numFmtId="0" xfId="0" applyAlignment="1" applyFont="1">
      <alignment readingOrder="0"/>
    </xf>
    <xf borderId="1" fillId="0" fontId="8" numFmtId="0" xfId="0" applyAlignment="1" applyBorder="1" applyFont="1">
      <alignment horizontal="left" readingOrder="0" shrinkToFit="0" vertical="center" wrapText="1"/>
    </xf>
    <xf borderId="1" fillId="0" fontId="23" numFmtId="0" xfId="0" applyAlignment="1" applyBorder="1" applyFont="1">
      <alignment horizontal="left" readingOrder="0" shrinkToFit="0" vertical="center" wrapText="1"/>
    </xf>
    <xf borderId="1" fillId="0" fontId="11" numFmtId="0" xfId="0" applyAlignment="1" applyBorder="1" applyFont="1">
      <alignment readingOrder="0" shrinkToFit="0" vertical="center" wrapText="1"/>
    </xf>
    <xf borderId="1" fillId="0" fontId="25" numFmtId="0" xfId="0" applyAlignment="1" applyBorder="1" applyFont="1">
      <alignment readingOrder="0" shrinkToFit="0" vertical="bottom" wrapText="1"/>
    </xf>
    <xf borderId="1" fillId="0" fontId="26" numFmtId="0" xfId="0" applyAlignment="1" applyBorder="1" applyFont="1">
      <alignment shrinkToFit="0" vertical="bottom" wrapText="1"/>
    </xf>
    <xf borderId="0" fillId="0" fontId="12" numFmtId="10" xfId="0" applyFont="1" applyNumberFormat="1"/>
    <xf borderId="5" fillId="0" fontId="21" numFmtId="0" xfId="0" applyAlignment="1" applyBorder="1" applyFont="1">
      <alignment readingOrder="0" shrinkToFit="0" vertical="center" wrapText="1"/>
    </xf>
    <xf borderId="5" fillId="0" fontId="11" numFmtId="0" xfId="0" applyAlignment="1" applyBorder="1" applyFont="1">
      <alignment horizontal="left" readingOrder="0" shrinkToFit="0" wrapText="1"/>
    </xf>
    <xf borderId="5" fillId="0" fontId="11" numFmtId="0" xfId="0" applyAlignment="1" applyBorder="1" applyFont="1">
      <alignment readingOrder="0" shrinkToFit="0" wrapText="1"/>
    </xf>
    <xf borderId="1" fillId="3" fontId="11" numFmtId="0" xfId="0" applyAlignment="1" applyBorder="1" applyFont="1">
      <alignment readingOrder="0" shrinkToFit="0" wrapText="1"/>
    </xf>
    <xf borderId="1" fillId="2" fontId="11" numFmtId="0" xfId="0" applyAlignment="1" applyBorder="1" applyFont="1">
      <alignment readingOrder="0" shrinkToFit="0" wrapText="1"/>
    </xf>
    <xf borderId="1" fillId="2" fontId="11" numFmtId="0" xfId="0" applyAlignment="1" applyBorder="1" applyFont="1">
      <alignment readingOrder="0"/>
    </xf>
    <xf borderId="2" fillId="0" fontId="11" numFmtId="0" xfId="0" applyAlignment="1" applyBorder="1" applyFont="1">
      <alignment horizontal="center" readingOrder="0" vertical="center"/>
    </xf>
    <xf borderId="2" fillId="0" fontId="11" numFmtId="0" xfId="0" applyAlignment="1" applyBorder="1" applyFont="1">
      <alignment readingOrder="0"/>
    </xf>
    <xf borderId="2" fillId="0" fontId="11" numFmtId="0" xfId="0" applyAlignment="1" applyBorder="1" applyFont="1">
      <alignment readingOrder="0" shrinkToFit="0" wrapText="1"/>
    </xf>
    <xf borderId="2" fillId="0" fontId="11" numFmtId="0" xfId="0" applyAlignment="1" applyBorder="1" applyFont="1">
      <alignment horizontal="center" readingOrder="0"/>
    </xf>
    <xf borderId="0" fillId="0" fontId="27" numFmtId="0" xfId="0" applyAlignment="1" applyFont="1">
      <alignment readingOrder="0"/>
    </xf>
    <xf borderId="1" fillId="3" fontId="11" numFmtId="0" xfId="0" applyAlignment="1" applyBorder="1" applyFont="1">
      <alignment readingOrder="0" shrinkToFit="0" vertical="center" wrapText="1"/>
    </xf>
    <xf borderId="1" fillId="14" fontId="11" numFmtId="0" xfId="0" applyAlignment="1" applyBorder="1" applyFill="1" applyFont="1">
      <alignment readingOrder="0" vertical="center"/>
    </xf>
    <xf borderId="1" fillId="14" fontId="11" numFmtId="0" xfId="0" applyAlignment="1" applyBorder="1" applyFont="1">
      <alignment readingOrder="0" shrinkToFit="0" vertical="center" wrapText="1"/>
    </xf>
    <xf borderId="1" fillId="0" fontId="8"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2" fillId="0" fontId="14" numFmtId="0" xfId="0" applyAlignment="1" applyBorder="1" applyFont="1">
      <alignment horizontal="center" readingOrder="0" vertical="center"/>
    </xf>
    <xf borderId="1" fillId="15" fontId="11" numFmtId="0" xfId="0" applyAlignment="1" applyBorder="1" applyFill="1" applyFont="1">
      <alignment readingOrder="0" shrinkToFit="0" wrapText="1"/>
    </xf>
    <xf borderId="1" fillId="0" fontId="14" numFmtId="0" xfId="0" applyAlignment="1" applyBorder="1" applyFont="1">
      <alignment horizontal="center" readingOrder="0" vertical="center"/>
    </xf>
    <xf borderId="2" fillId="0" fontId="14" numFmtId="0" xfId="0" applyAlignment="1" applyBorder="1" applyFont="1">
      <alignment horizontal="center" readingOrder="0" shrinkToFit="0" vertical="center" wrapText="1"/>
    </xf>
    <xf borderId="1" fillId="0" fontId="8" numFmtId="0" xfId="0" applyAlignment="1" applyBorder="1" applyFont="1">
      <alignment horizontal="center" readingOrder="0" vertical="center"/>
    </xf>
    <xf borderId="1" fillId="2" fontId="11" numFmtId="0" xfId="0" applyAlignment="1" applyBorder="1" applyFont="1">
      <alignment readingOrder="0" shrinkToFit="0" vertical="center" wrapText="1"/>
    </xf>
    <xf borderId="1" fillId="2" fontId="14" numFmtId="0" xfId="0" applyAlignment="1" applyBorder="1" applyFont="1">
      <alignment horizontal="center" readingOrder="0" shrinkToFit="0" vertical="center" wrapText="1"/>
    </xf>
    <xf borderId="0" fillId="2" fontId="27" numFmtId="0" xfId="0" applyAlignment="1" applyFont="1">
      <alignment readingOrder="0"/>
    </xf>
    <xf borderId="1" fillId="2" fontId="14" numFmtId="0" xfId="0" applyAlignment="1" applyBorder="1" applyFont="1">
      <alignment readingOrder="0" shrinkToFit="0" wrapText="1"/>
    </xf>
    <xf borderId="1" fillId="2" fontId="11" numFmtId="0" xfId="0" applyBorder="1" applyFont="1"/>
    <xf borderId="1" fillId="14" fontId="11" numFmtId="0" xfId="0" applyAlignment="1" applyBorder="1" applyFont="1">
      <alignment horizontal="center" readingOrder="0" vertical="center"/>
    </xf>
    <xf borderId="1" fillId="0" fontId="26" numFmtId="0" xfId="0" applyAlignment="1" applyBorder="1" applyFont="1">
      <alignment horizontal="center" readingOrder="0"/>
    </xf>
    <xf borderId="1" fillId="0" fontId="26" numFmtId="0" xfId="0" applyAlignment="1" applyBorder="1" applyFont="1">
      <alignment readingOrder="0"/>
    </xf>
    <xf borderId="1" fillId="7" fontId="25" numFmtId="0" xfId="0" applyBorder="1" applyFont="1"/>
    <xf borderId="1" fillId="0" fontId="25" numFmtId="0" xfId="0" applyAlignment="1" applyBorder="1" applyFont="1">
      <alignment readingOrder="0"/>
    </xf>
    <xf borderId="1" fillId="0" fontId="25" numFmtId="0" xfId="0" applyAlignment="1" applyBorder="1" applyFont="1">
      <alignment vertical="bottom"/>
    </xf>
    <xf borderId="1" fillId="7" fontId="25" numFmtId="0" xfId="0" applyAlignment="1" applyBorder="1" applyFont="1">
      <alignment vertical="bottom"/>
    </xf>
    <xf borderId="0" fillId="0" fontId="28" numFmtId="0" xfId="0" applyAlignment="1" applyFont="1">
      <alignment shrinkToFit="0" vertical="bottom" wrapText="1"/>
    </xf>
    <xf borderId="0" fillId="0" fontId="28" numFmtId="0" xfId="0" applyAlignment="1" applyFont="1">
      <alignment readingOrder="0" shrinkToFit="0" vertical="bottom" wrapText="1"/>
    </xf>
    <xf borderId="0" fillId="0" fontId="29" numFmtId="0" xfId="0" applyAlignment="1" applyFont="1">
      <alignment readingOrder="0" shrinkToFit="0" vertical="bottom" wrapText="1"/>
    </xf>
    <xf borderId="8" fillId="0" fontId="28" numFmtId="0" xfId="0" applyAlignment="1" applyBorder="1" applyFont="1">
      <alignment readingOrder="0" shrinkToFit="0" vertical="bottom" wrapText="1"/>
    </xf>
    <xf borderId="0" fillId="0" fontId="28" numFmtId="0" xfId="0" applyAlignment="1" applyFont="1">
      <alignment shrinkToFit="0" vertical="bottom" wrapText="1"/>
    </xf>
    <xf borderId="5" fillId="0" fontId="30" numFmtId="0" xfId="0" applyAlignment="1" applyBorder="1" applyFont="1">
      <alignment horizontal="center" readingOrder="0" shrinkToFit="0" vertical="bottom" wrapText="1"/>
    </xf>
    <xf borderId="9" fillId="16" fontId="5" numFmtId="0" xfId="0" applyAlignment="1" applyBorder="1" applyFill="1" applyFont="1">
      <alignment horizontal="left" readingOrder="0" shrinkToFit="0" vertical="center" wrapText="1"/>
    </xf>
    <xf borderId="10" fillId="16" fontId="5" numFmtId="0" xfId="0" applyAlignment="1" applyBorder="1" applyFont="1">
      <alignment horizontal="left" readingOrder="0" shrinkToFit="0" vertical="center" wrapText="1"/>
    </xf>
    <xf borderId="11" fillId="16" fontId="5" numFmtId="0" xfId="0" applyAlignment="1" applyBorder="1" applyFont="1">
      <alignment horizontal="left" readingOrder="0" shrinkToFit="0" vertical="center" wrapText="1"/>
    </xf>
    <xf borderId="12" fillId="0" fontId="31" numFmtId="0" xfId="0" applyAlignment="1" applyBorder="1" applyFont="1">
      <alignment readingOrder="0" shrinkToFit="0" vertical="bottom" wrapText="1"/>
    </xf>
    <xf borderId="13" fillId="0" fontId="31" numFmtId="0" xfId="0" applyAlignment="1" applyBorder="1" applyFont="1">
      <alignment readingOrder="0" shrinkToFit="0" vertical="bottom" wrapText="1"/>
    </xf>
    <xf borderId="5" fillId="0" fontId="31" numFmtId="0" xfId="0" applyAlignment="1" applyBorder="1" applyFont="1">
      <alignment readingOrder="0" shrinkToFit="0" vertical="bottom" wrapText="1"/>
    </xf>
    <xf borderId="6" fillId="0" fontId="31" numFmtId="0" xfId="0" applyAlignment="1" applyBorder="1" applyFont="1">
      <alignment readingOrder="0" shrinkToFit="0" vertical="bottom" wrapText="1"/>
    </xf>
    <xf borderId="1" fillId="17" fontId="32" numFmtId="0" xfId="0" applyAlignment="1" applyBorder="1" applyFill="1" applyFont="1">
      <alignment shrinkToFit="0" vertical="center" wrapText="1"/>
    </xf>
    <xf borderId="1" fillId="17" fontId="32" numFmtId="4" xfId="0" applyAlignment="1" applyBorder="1" applyFont="1" applyNumberFormat="1">
      <alignment horizontal="right" shrinkToFit="0" vertical="center" wrapText="1"/>
    </xf>
    <xf borderId="1" fillId="17" fontId="32" numFmtId="4" xfId="0" applyAlignment="1" applyBorder="1" applyFont="1" applyNumberFormat="1">
      <alignment horizontal="right" readingOrder="0" shrinkToFit="0" vertical="center" wrapText="1"/>
    </xf>
    <xf borderId="1" fillId="17" fontId="32" numFmtId="0" xfId="0" applyAlignment="1" applyBorder="1" applyFont="1">
      <alignment readingOrder="0" shrinkToFit="0" vertical="center" wrapText="1"/>
    </xf>
    <xf borderId="1" fillId="17" fontId="32" numFmtId="0" xfId="0" applyAlignment="1" applyBorder="1" applyFont="1">
      <alignment shrinkToFit="0" vertical="center" wrapText="1"/>
    </xf>
    <xf borderId="1" fillId="17" fontId="28" numFmtId="0" xfId="0" applyAlignment="1" applyBorder="1" applyFont="1">
      <alignment readingOrder="0" shrinkToFit="0" vertical="center" wrapText="1"/>
    </xf>
    <xf borderId="12" fillId="0" fontId="28" numFmtId="4" xfId="0" applyAlignment="1" applyBorder="1" applyFont="1" applyNumberFormat="1">
      <alignment shrinkToFit="0" vertical="bottom" wrapText="1"/>
    </xf>
    <xf borderId="13" fillId="0" fontId="28" numFmtId="4" xfId="0" applyAlignment="1" applyBorder="1" applyFont="1" applyNumberFormat="1">
      <alignment readingOrder="0" shrinkToFit="0" vertical="bottom" wrapText="1"/>
    </xf>
    <xf borderId="13" fillId="0" fontId="28" numFmtId="4" xfId="0" applyAlignment="1" applyBorder="1" applyFont="1" applyNumberFormat="1">
      <alignment shrinkToFit="0" vertical="bottom" wrapText="1"/>
    </xf>
    <xf borderId="14" fillId="0" fontId="28" numFmtId="0" xfId="0" applyAlignment="1" applyBorder="1" applyFont="1">
      <alignment shrinkToFit="0" vertical="bottom" wrapText="1"/>
    </xf>
    <xf borderId="8" fillId="0" fontId="28" numFmtId="0" xfId="0" applyAlignment="1" applyBorder="1" applyFont="1">
      <alignment shrinkToFit="0" vertical="bottom" wrapText="1"/>
    </xf>
    <xf borderId="0" fillId="17" fontId="33" numFmtId="4" xfId="0" applyAlignment="1" applyFont="1" applyNumberFormat="1">
      <alignment horizontal="right" shrinkToFit="0" vertical="bottom" wrapText="1"/>
    </xf>
    <xf borderId="0" fillId="17" fontId="33" numFmtId="4" xfId="0" applyAlignment="1" applyFont="1" applyNumberFormat="1">
      <alignment horizontal="left" readingOrder="0" shrinkToFit="0" vertical="bottom" wrapText="1"/>
    </xf>
    <xf borderId="1" fillId="17" fontId="28" numFmtId="0" xfId="0" applyAlignment="1" applyBorder="1" applyFont="1">
      <alignment shrinkToFit="0" vertical="center" wrapText="1"/>
    </xf>
    <xf borderId="8" fillId="0" fontId="28" numFmtId="4" xfId="0" applyAlignment="1" applyBorder="1" applyFont="1" applyNumberFormat="1">
      <alignment shrinkToFit="0" vertical="bottom" wrapText="1"/>
    </xf>
    <xf borderId="14" fillId="0" fontId="28" numFmtId="4" xfId="0" applyAlignment="1" applyBorder="1" applyFont="1" applyNumberFormat="1">
      <alignment shrinkToFit="0" vertical="bottom" wrapText="1"/>
    </xf>
    <xf borderId="1" fillId="7" fontId="32" numFmtId="4" xfId="0" applyAlignment="1" applyBorder="1" applyFont="1" applyNumberFormat="1">
      <alignment horizontal="right" readingOrder="0" shrinkToFit="0" vertical="center" wrapText="1"/>
    </xf>
    <xf borderId="1" fillId="7" fontId="32" numFmtId="0" xfId="0" applyAlignment="1" applyBorder="1" applyFont="1">
      <alignment shrinkToFit="0" vertical="center" wrapText="1"/>
    </xf>
    <xf borderId="1" fillId="7" fontId="32" numFmtId="4" xfId="0" applyAlignment="1" applyBorder="1" applyFont="1" applyNumberFormat="1">
      <alignment horizontal="right" shrinkToFit="0" vertical="center" wrapText="1"/>
    </xf>
    <xf borderId="1" fillId="7" fontId="32" numFmtId="4" xfId="0" applyAlignment="1" applyBorder="1" applyFont="1" applyNumberFormat="1">
      <alignment horizontal="right" readingOrder="0" shrinkToFit="0" vertical="center" wrapText="1"/>
    </xf>
    <xf borderId="1" fillId="7" fontId="28" numFmtId="0" xfId="0" applyAlignment="1" applyBorder="1" applyFont="1">
      <alignment readingOrder="0" shrinkToFit="0" vertical="center" wrapText="1"/>
    </xf>
    <xf borderId="1" fillId="7" fontId="28" numFmtId="0" xfId="0" applyAlignment="1" applyBorder="1" applyFont="1">
      <alignment shrinkToFit="0" vertical="center" wrapText="1"/>
    </xf>
    <xf borderId="0" fillId="0" fontId="28" numFmtId="4" xfId="0" applyAlignment="1" applyFont="1" applyNumberFormat="1">
      <alignment shrinkToFit="0" vertical="bottom" wrapText="1"/>
    </xf>
    <xf borderId="1" fillId="7" fontId="32" numFmtId="0" xfId="0" applyAlignment="1" applyBorder="1" applyFont="1">
      <alignment shrinkToFit="0" vertical="center" wrapText="1"/>
    </xf>
    <xf borderId="1" fillId="8" fontId="28" numFmtId="4" xfId="0" applyAlignment="1" applyBorder="1" applyFont="1" applyNumberFormat="1">
      <alignment readingOrder="0" shrinkToFit="0" vertical="center" wrapText="1"/>
    </xf>
    <xf borderId="1" fillId="7" fontId="32" numFmtId="0" xfId="0" applyAlignment="1" applyBorder="1" applyFont="1">
      <alignment readingOrder="0" shrinkToFit="0" vertical="center" wrapText="1"/>
    </xf>
    <xf borderId="1" fillId="8" fontId="32" numFmtId="4" xfId="0" applyAlignment="1" applyBorder="1" applyFont="1" applyNumberFormat="1">
      <alignment horizontal="right" readingOrder="0" shrinkToFit="0" vertical="center" wrapText="1"/>
    </xf>
    <xf borderId="15" fillId="0" fontId="28" numFmtId="0" xfId="0" applyAlignment="1" applyBorder="1" applyFont="1">
      <alignment shrinkToFit="0" vertical="bottom" wrapText="1"/>
    </xf>
    <xf borderId="16" fillId="0" fontId="28" numFmtId="0" xfId="0" applyAlignment="1" applyBorder="1" applyFont="1">
      <alignment shrinkToFit="0" vertical="bottom" wrapText="1"/>
    </xf>
    <xf borderId="15" fillId="0" fontId="28" numFmtId="4" xfId="0" applyAlignment="1" applyBorder="1" applyFont="1" applyNumberFormat="1">
      <alignment shrinkToFit="0" vertical="bottom" wrapText="1"/>
    </xf>
    <xf borderId="16" fillId="0" fontId="28" numFmtId="4" xfId="0" applyAlignment="1" applyBorder="1" applyFont="1" applyNumberFormat="1">
      <alignment shrinkToFit="0" vertical="bottom" wrapText="1"/>
    </xf>
    <xf borderId="1" fillId="17" fontId="34" numFmtId="0" xfId="0" applyAlignment="1" applyBorder="1" applyFont="1">
      <alignment horizontal="right" shrinkToFit="0" vertical="center" wrapText="1"/>
    </xf>
    <xf borderId="1" fillId="17" fontId="34" numFmtId="4" xfId="0" applyAlignment="1" applyBorder="1" applyFont="1" applyNumberFormat="1">
      <alignment horizontal="right" shrinkToFit="0" vertical="center" wrapText="1"/>
    </xf>
    <xf borderId="4" fillId="17" fontId="35" numFmtId="4" xfId="0" applyAlignment="1" applyBorder="1" applyFont="1" applyNumberFormat="1">
      <alignment horizontal="right" shrinkToFit="0" wrapText="1"/>
    </xf>
    <xf borderId="1" fillId="17" fontId="35" numFmtId="4" xfId="0" applyAlignment="1" applyBorder="1" applyFont="1" applyNumberFormat="1">
      <alignment horizontal="right" shrinkToFit="0" wrapText="1"/>
    </xf>
    <xf borderId="0" fillId="17" fontId="33" numFmtId="4" xfId="0" applyAlignment="1" applyFont="1" applyNumberFormat="1">
      <alignment horizontal="right" shrinkToFit="0" vertical="bottom" wrapText="1"/>
    </xf>
    <xf borderId="0" fillId="17" fontId="33" numFmtId="4" xfId="0" applyAlignment="1" applyFont="1" applyNumberFormat="1">
      <alignment horizontal="left" readingOrder="0" shrinkToFit="0" vertical="bottom" wrapText="1"/>
    </xf>
    <xf borderId="0" fillId="17" fontId="36" numFmtId="0" xfId="0" applyAlignment="1" applyFont="1">
      <alignment horizontal="left" readingOrder="0" shrinkToFit="0" vertical="bottom" wrapText="1"/>
    </xf>
    <xf borderId="1" fillId="17" fontId="34" numFmtId="0" xfId="0" applyAlignment="1" applyBorder="1" applyFont="1">
      <alignment horizontal="right" readingOrder="0" shrinkToFit="0" vertical="center" wrapText="0"/>
    </xf>
    <xf borderId="0" fillId="17" fontId="28" numFmtId="0" xfId="0" applyAlignment="1" applyFont="1">
      <alignment shrinkToFit="0" vertical="center" wrapText="1"/>
    </xf>
    <xf borderId="8" fillId="7" fontId="35" numFmtId="0" xfId="0" applyAlignment="1" applyBorder="1" applyFont="1">
      <alignment horizontal="right" shrinkToFit="0" vertical="bottom" wrapText="1"/>
    </xf>
    <xf borderId="14" fillId="7" fontId="35" numFmtId="10" xfId="0" applyAlignment="1" applyBorder="1" applyFont="1" applyNumberFormat="1">
      <alignment horizontal="right" shrinkToFit="0" vertical="bottom" wrapText="1"/>
    </xf>
    <xf borderId="12" fillId="7" fontId="35" numFmtId="0" xfId="0" applyAlignment="1" applyBorder="1" applyFont="1">
      <alignment horizontal="right" shrinkToFit="0" vertical="bottom" wrapText="1"/>
    </xf>
    <xf borderId="13" fillId="7" fontId="35" numFmtId="10" xfId="0" applyAlignment="1" applyBorder="1" applyFont="1" applyNumberFormat="1">
      <alignment horizontal="right" shrinkToFit="0" vertical="bottom" wrapText="1"/>
    </xf>
    <xf borderId="0" fillId="7" fontId="35" numFmtId="0" xfId="0" applyAlignment="1" applyFont="1">
      <alignment horizontal="right" shrinkToFit="0" vertical="bottom" wrapText="1"/>
    </xf>
    <xf borderId="0" fillId="0" fontId="31" numFmtId="0" xfId="0" applyAlignment="1" applyFont="1">
      <alignment horizontal="right" readingOrder="0" shrinkToFit="0" vertical="bottom" wrapText="1"/>
    </xf>
    <xf borderId="8" fillId="17" fontId="28" numFmtId="4" xfId="0" applyAlignment="1" applyBorder="1" applyFont="1" applyNumberFormat="1">
      <alignment readingOrder="0" shrinkToFit="0" vertical="bottom" wrapText="1"/>
    </xf>
    <xf borderId="14" fillId="17" fontId="28" numFmtId="4" xfId="0" applyAlignment="1" applyBorder="1" applyFont="1" applyNumberFormat="1">
      <alignment shrinkToFit="0" vertical="bottom" wrapText="1"/>
    </xf>
    <xf borderId="8" fillId="17" fontId="28" numFmtId="4" xfId="0" applyAlignment="1" applyBorder="1" applyFont="1" applyNumberFormat="1">
      <alignment shrinkToFit="0" vertical="bottom" wrapText="1"/>
    </xf>
    <xf borderId="0" fillId="17" fontId="28" numFmtId="0" xfId="0" applyAlignment="1" applyFont="1">
      <alignment shrinkToFit="0" vertical="bottom" wrapText="1"/>
    </xf>
    <xf borderId="8" fillId="7" fontId="28" numFmtId="0" xfId="0" applyAlignment="1" applyBorder="1" applyFont="1">
      <alignment shrinkToFit="0" vertical="bottom" wrapText="1"/>
    </xf>
    <xf borderId="14" fillId="7" fontId="28" numFmtId="10" xfId="0" applyAlignment="1" applyBorder="1" applyFont="1" applyNumberFormat="1">
      <alignment shrinkToFit="0" vertical="bottom" wrapText="1"/>
    </xf>
    <xf borderId="15" fillId="7" fontId="28" numFmtId="0" xfId="0" applyAlignment="1" applyBorder="1" applyFont="1">
      <alignment shrinkToFit="0" vertical="bottom" wrapText="1"/>
    </xf>
    <xf borderId="16" fillId="7" fontId="28" numFmtId="10" xfId="0" applyAlignment="1" applyBorder="1" applyFont="1" applyNumberFormat="1">
      <alignment shrinkToFit="0" vertical="bottom" wrapText="1"/>
    </xf>
    <xf borderId="0" fillId="7" fontId="28" numFmtId="0" xfId="0" applyAlignment="1" applyFont="1">
      <alignment shrinkToFit="0" vertical="bottom" wrapText="1"/>
    </xf>
    <xf borderId="5" fillId="17" fontId="30" numFmtId="0" xfId="0" applyAlignment="1" applyBorder="1" applyFont="1">
      <alignment horizontal="center" readingOrder="0" shrinkToFit="0" vertical="bottom" wrapText="1"/>
    </xf>
    <xf borderId="7" fillId="17" fontId="9" numFmtId="0" xfId="0" applyBorder="1" applyFont="1"/>
    <xf borderId="6" fillId="17" fontId="9" numFmtId="0" xfId="0" applyBorder="1" applyFont="1"/>
    <xf borderId="0" fillId="17" fontId="30" numFmtId="0" xfId="0" applyAlignment="1" applyFont="1">
      <alignment horizontal="center" readingOrder="0" shrinkToFit="0" vertical="bottom" wrapText="1"/>
    </xf>
    <xf borderId="17" fillId="18" fontId="5" numFmtId="0" xfId="0" applyAlignment="1" applyBorder="1" applyFill="1" applyFont="1">
      <alignment horizontal="left" readingOrder="0" shrinkToFit="0" vertical="center" wrapText="1"/>
    </xf>
    <xf borderId="18" fillId="18" fontId="5" numFmtId="0" xfId="0" applyAlignment="1" applyBorder="1" applyFont="1">
      <alignment horizontal="left" readingOrder="0" shrinkToFit="0" vertical="center" wrapText="1"/>
    </xf>
    <xf borderId="19" fillId="18" fontId="5" numFmtId="0" xfId="0" applyAlignment="1" applyBorder="1" applyFont="1">
      <alignment horizontal="left" readingOrder="0" shrinkToFit="0" vertical="center" wrapText="1"/>
    </xf>
    <xf borderId="1" fillId="7" fontId="32" numFmtId="4" xfId="0" applyAlignment="1" applyBorder="1" applyFont="1" applyNumberFormat="1">
      <alignment shrinkToFit="0" vertical="center" wrapText="1"/>
    </xf>
    <xf borderId="20" fillId="0" fontId="28" numFmtId="0" xfId="0" applyAlignment="1" applyBorder="1" applyFont="1">
      <alignment shrinkToFit="0" vertical="bottom" wrapText="1"/>
    </xf>
    <xf borderId="13" fillId="0" fontId="28" numFmtId="0" xfId="0" applyAlignment="1" applyBorder="1" applyFont="1">
      <alignment shrinkToFit="0" vertical="bottom" wrapText="1"/>
    </xf>
    <xf borderId="12" fillId="0" fontId="28" numFmtId="0" xfId="0" applyAlignment="1" applyBorder="1" applyFont="1">
      <alignment shrinkToFit="0" vertical="bottom" wrapText="1"/>
    </xf>
    <xf borderId="20" fillId="0" fontId="28" numFmtId="4" xfId="0" applyAlignment="1" applyBorder="1" applyFont="1" applyNumberFormat="1">
      <alignment shrinkToFit="0" vertical="bottom" wrapText="1"/>
    </xf>
    <xf borderId="1" fillId="0" fontId="32" numFmtId="0" xfId="0" applyAlignment="1" applyBorder="1" applyFont="1">
      <alignment shrinkToFit="0" vertical="center" wrapText="1"/>
    </xf>
    <xf borderId="1" fillId="0" fontId="32" numFmtId="4" xfId="0" applyAlignment="1" applyBorder="1" applyFont="1" applyNumberFormat="1">
      <alignment shrinkToFit="0" vertical="center" wrapText="1"/>
    </xf>
    <xf borderId="1" fillId="0" fontId="37" numFmtId="4" xfId="0" applyAlignment="1" applyBorder="1" applyFont="1" applyNumberFormat="1">
      <alignment horizontal="right" shrinkToFit="0" vertical="center" wrapText="1"/>
    </xf>
    <xf borderId="1" fillId="0" fontId="32" numFmtId="0" xfId="0" applyAlignment="1" applyBorder="1" applyFont="1">
      <alignment shrinkToFit="0" vertical="center" wrapText="1"/>
    </xf>
    <xf borderId="1" fillId="0" fontId="28" numFmtId="0" xfId="0" applyAlignment="1" applyBorder="1" applyFont="1">
      <alignment shrinkToFit="0" vertical="center" wrapText="1"/>
    </xf>
    <xf borderId="1" fillId="7" fontId="32" numFmtId="4" xfId="0" applyAlignment="1" applyBorder="1" applyFont="1" applyNumberFormat="1">
      <alignment readingOrder="0" shrinkToFit="0" vertical="center" wrapText="1"/>
    </xf>
    <xf borderId="1" fillId="17" fontId="32" numFmtId="4" xfId="0" applyAlignment="1" applyBorder="1" applyFont="1" applyNumberFormat="1">
      <alignment shrinkToFit="0" vertical="center" wrapText="1"/>
    </xf>
    <xf borderId="1" fillId="17" fontId="28" numFmtId="4" xfId="0" applyAlignment="1" applyBorder="1" applyFont="1" applyNumberFormat="1">
      <alignment readingOrder="0" shrinkToFit="0" vertical="center" wrapText="1"/>
    </xf>
    <xf borderId="1" fillId="0" fontId="37" numFmtId="4" xfId="0" applyAlignment="1" applyBorder="1" applyFont="1" applyNumberFormat="1">
      <alignment readingOrder="0" shrinkToFit="0" vertical="center" wrapText="1"/>
    </xf>
    <xf borderId="1" fillId="7" fontId="28" numFmtId="4" xfId="0" applyAlignment="1" applyBorder="1" applyFont="1" applyNumberFormat="1">
      <alignment readingOrder="0" shrinkToFit="0" vertical="center" wrapText="1"/>
    </xf>
    <xf borderId="1" fillId="7" fontId="28" numFmtId="4" xfId="0" applyAlignment="1" applyBorder="1" applyFont="1" applyNumberFormat="1">
      <alignment readingOrder="0" shrinkToFit="0" vertical="center" wrapText="1"/>
    </xf>
    <xf borderId="1" fillId="17" fontId="32" numFmtId="4" xfId="0" applyAlignment="1" applyBorder="1" applyFont="1" applyNumberFormat="1">
      <alignment readingOrder="0" shrinkToFit="0" vertical="center" wrapText="1"/>
    </xf>
    <xf borderId="1" fillId="0" fontId="37" numFmtId="4" xfId="0" applyAlignment="1" applyBorder="1" applyFont="1" applyNumberFormat="1">
      <alignment horizontal="right" readingOrder="0" shrinkToFit="0" vertical="center" wrapText="1"/>
    </xf>
    <xf borderId="1" fillId="17" fontId="38" numFmtId="0" xfId="0" applyAlignment="1" applyBorder="1" applyFont="1">
      <alignment readingOrder="0" shrinkToFit="0" vertical="center" wrapText="1"/>
    </xf>
    <xf borderId="1" fillId="17" fontId="39" numFmtId="0" xfId="0" applyAlignment="1" applyBorder="1" applyFont="1">
      <alignment readingOrder="0" shrinkToFit="0" vertical="center" wrapText="1"/>
    </xf>
    <xf borderId="1" fillId="7" fontId="37" numFmtId="4" xfId="0" applyAlignment="1" applyBorder="1" applyFont="1" applyNumberFormat="1">
      <alignment horizontal="right" readingOrder="0" shrinkToFit="0" vertical="center" wrapText="1"/>
    </xf>
    <xf borderId="1" fillId="7" fontId="39" numFmtId="0" xfId="0" applyAlignment="1" applyBorder="1" applyFont="1">
      <alignment readingOrder="0" shrinkToFit="0" vertical="center" wrapText="1"/>
    </xf>
    <xf borderId="0" fillId="0" fontId="27" numFmtId="4" xfId="0" applyFont="1" applyNumberFormat="1"/>
    <xf borderId="1" fillId="8" fontId="37" numFmtId="4" xfId="0" applyAlignment="1" applyBorder="1" applyFont="1" applyNumberFormat="1">
      <alignment horizontal="right" shrinkToFit="0" vertical="center" wrapText="1"/>
    </xf>
    <xf borderId="1" fillId="8" fontId="37" numFmtId="4" xfId="0" applyAlignment="1" applyBorder="1" applyFont="1" applyNumberFormat="1">
      <alignment horizontal="right" readingOrder="0" shrinkToFit="0" vertical="center" wrapText="1"/>
    </xf>
    <xf borderId="21" fillId="0" fontId="28" numFmtId="0" xfId="0" applyAlignment="1" applyBorder="1" applyFont="1">
      <alignment shrinkToFit="0" vertical="bottom" wrapText="1"/>
    </xf>
    <xf borderId="0" fillId="0" fontId="40" numFmtId="0" xfId="0" applyAlignment="1" applyFont="1">
      <alignment shrinkToFit="0" vertical="bottom" wrapText="1"/>
    </xf>
    <xf borderId="1" fillId="7" fontId="34" numFmtId="0" xfId="0" applyAlignment="1" applyBorder="1" applyFont="1">
      <alignment horizontal="right" shrinkToFit="0" wrapText="1"/>
    </xf>
    <xf borderId="1" fillId="7" fontId="34" numFmtId="4" xfId="0" applyAlignment="1" applyBorder="1" applyFont="1" applyNumberFormat="1">
      <alignment horizontal="right" shrinkToFit="0" wrapText="1"/>
    </xf>
    <xf borderId="1" fillId="7" fontId="40" numFmtId="0" xfId="0" applyAlignment="1" applyBorder="1" applyFont="1">
      <alignment shrinkToFit="0" wrapText="1"/>
    </xf>
    <xf borderId="4" fillId="7" fontId="34" numFmtId="4" xfId="0" applyAlignment="1" applyBorder="1" applyFont="1" applyNumberFormat="1">
      <alignment horizontal="right" shrinkToFit="0" wrapText="1"/>
    </xf>
    <xf borderId="0" fillId="17" fontId="41" numFmtId="4" xfId="0" applyAlignment="1" applyFont="1" applyNumberFormat="1">
      <alignment horizontal="right" shrinkToFit="0" vertical="bottom" wrapText="1"/>
    </xf>
    <xf borderId="0" fillId="17" fontId="41" numFmtId="4" xfId="0" applyAlignment="1" applyFont="1" applyNumberFormat="1">
      <alignment horizontal="left" readingOrder="0" shrinkToFit="0" vertical="bottom" wrapText="1"/>
    </xf>
    <xf borderId="0" fillId="17" fontId="42" numFmtId="0" xfId="0" applyAlignment="1" applyFont="1">
      <alignment horizontal="left" readingOrder="0" shrinkToFit="0" vertical="bottom" wrapText="1"/>
    </xf>
    <xf borderId="1" fillId="17" fontId="34" numFmtId="0" xfId="0" applyAlignment="1" applyBorder="1" applyFont="1">
      <alignment horizontal="right" readingOrder="0" shrinkToFit="0" wrapText="0"/>
    </xf>
    <xf borderId="1" fillId="17" fontId="34" numFmtId="4" xfId="0" applyAlignment="1" applyBorder="1" applyFont="1" applyNumberFormat="1">
      <alignment horizontal="right" shrinkToFit="0" wrapText="1"/>
    </xf>
    <xf borderId="13" fillId="0" fontId="28" numFmtId="10" xfId="0" applyAlignment="1" applyBorder="1" applyFont="1" applyNumberFormat="1">
      <alignment shrinkToFit="0" vertical="bottom" wrapText="1"/>
    </xf>
    <xf borderId="8" fillId="0" fontId="28" numFmtId="4" xfId="0" applyAlignment="1" applyBorder="1" applyFont="1" applyNumberFormat="1">
      <alignment readingOrder="0" shrinkToFit="0" vertical="bottom" wrapText="1"/>
    </xf>
    <xf borderId="0" fillId="0" fontId="28" numFmtId="4" xfId="0" applyAlignment="1" applyFont="1" applyNumberFormat="1">
      <alignment readingOrder="0" shrinkToFit="0" vertical="bottom" wrapText="1"/>
    </xf>
    <xf borderId="16" fillId="0" fontId="28" numFmtId="10" xfId="0" applyAlignment="1" applyBorder="1" applyFont="1" applyNumberFormat="1">
      <alignment shrinkToFit="0" vertical="bottom" wrapText="1"/>
    </xf>
    <xf borderId="0" fillId="0" fontId="30" numFmtId="0" xfId="0" applyAlignment="1" applyFont="1">
      <alignment shrinkToFit="0" vertical="bottom" wrapText="1"/>
    </xf>
    <xf borderId="0" fillId="0" fontId="30" numFmtId="0" xfId="0" applyAlignment="1" applyFont="1">
      <alignment shrinkToFit="0" vertical="bottom" wrapText="1"/>
    </xf>
    <xf borderId="0" fillId="0" fontId="30" numFmtId="0" xfId="0" applyAlignment="1" applyFont="1">
      <alignment horizontal="right" readingOrder="0" shrinkToFit="0" vertical="bottom" wrapText="1"/>
    </xf>
    <xf borderId="15" fillId="0" fontId="43" numFmtId="4" xfId="0" applyAlignment="1" applyBorder="1" applyFont="1" applyNumberFormat="1">
      <alignment shrinkToFit="0" vertical="bottom" wrapText="1"/>
    </xf>
    <xf borderId="16" fillId="0" fontId="30" numFmtId="4" xfId="0" applyAlignment="1" applyBorder="1" applyFont="1" applyNumberFormat="1">
      <alignment shrinkToFit="0" vertical="bottom" wrapText="1"/>
    </xf>
    <xf borderId="5" fillId="0" fontId="28" numFmtId="0" xfId="0" applyAlignment="1" applyBorder="1" applyFont="1">
      <alignment readingOrder="0" shrinkToFit="0" vertical="bottom" wrapText="1"/>
    </xf>
    <xf borderId="6" fillId="0" fontId="28" numFmtId="10" xfId="0" applyAlignment="1" applyBorder="1" applyFont="1" applyNumberFormat="1">
      <alignment shrinkToFit="0" vertical="bottom" wrapText="1"/>
    </xf>
    <xf borderId="0" fillId="0" fontId="40" numFmtId="0" xfId="0" applyAlignment="1" applyFont="1">
      <alignment shrinkToFit="0" vertical="bottom" wrapText="1"/>
    </xf>
    <xf borderId="5" fillId="0" fontId="30" numFmtId="0" xfId="0" applyAlignment="1" applyBorder="1" applyFont="1">
      <alignment shrinkToFit="0" vertical="bottom" wrapText="1"/>
    </xf>
    <xf borderId="7" fillId="0" fontId="43" numFmtId="4" xfId="0" applyAlignment="1" applyBorder="1" applyFont="1" applyNumberFormat="1">
      <alignment shrinkToFit="0" vertical="bottom" wrapText="1"/>
    </xf>
    <xf borderId="6" fillId="0" fontId="43" numFmtId="4" xfId="0" applyAlignment="1" applyBorder="1" applyFont="1" applyNumberFormat="1">
      <alignment shrinkToFit="0" vertical="bottom" wrapText="1"/>
    </xf>
    <xf borderId="7" fillId="0" fontId="30" numFmtId="0" xfId="0" applyAlignment="1" applyBorder="1" applyFont="1">
      <alignment shrinkToFit="0" vertical="bottom" wrapText="1"/>
    </xf>
    <xf borderId="5" fillId="0" fontId="43" numFmtId="9" xfId="0" applyAlignment="1" applyBorder="1" applyFont="1" applyNumberFormat="1">
      <alignment shrinkToFit="0" vertical="bottom" wrapText="1"/>
    </xf>
    <xf borderId="5" fillId="0" fontId="44" numFmtId="0" xfId="0" applyAlignment="1" applyBorder="1" applyFont="1">
      <alignment horizontal="center" readingOrder="0" shrinkToFit="0" vertical="bottom" wrapText="1"/>
    </xf>
    <xf borderId="7" fillId="0" fontId="44" numFmtId="0" xfId="0" applyAlignment="1" applyBorder="1" applyFont="1">
      <alignment horizontal="center" readingOrder="0" shrinkToFit="0" vertical="bottom" wrapText="1"/>
    </xf>
    <xf borderId="15" fillId="0" fontId="44" numFmtId="0" xfId="0" applyAlignment="1" applyBorder="1" applyFont="1">
      <alignment horizontal="center" readingOrder="0" shrinkToFit="0" vertical="bottom" wrapText="1"/>
    </xf>
    <xf borderId="16" fillId="0" fontId="9" numFmtId="0" xfId="0" applyBorder="1" applyFont="1"/>
    <xf borderId="0" fillId="0" fontId="28" numFmtId="0" xfId="0" applyAlignment="1" applyFont="1">
      <alignment horizontal="left" readingOrder="0" shrinkToFit="0" vertical="bottom" wrapText="1"/>
    </xf>
    <xf borderId="22" fillId="19" fontId="5" numFmtId="0" xfId="0" applyAlignment="1" applyBorder="1" applyFill="1" applyFont="1">
      <alignment shrinkToFit="0" vertical="center" wrapText="1"/>
    </xf>
    <xf borderId="23" fillId="19" fontId="5" numFmtId="0" xfId="0" applyAlignment="1" applyBorder="1" applyFont="1">
      <alignment shrinkToFit="0" vertical="center" wrapText="1"/>
    </xf>
    <xf borderId="23" fillId="19" fontId="5" numFmtId="0" xfId="0" applyAlignment="1" applyBorder="1" applyFont="1">
      <alignment shrinkToFit="0" vertical="center" wrapText="1"/>
    </xf>
    <xf borderId="24" fillId="19" fontId="5" numFmtId="0" xfId="0" applyAlignment="1" applyBorder="1" applyFont="1">
      <alignment shrinkToFit="0" vertical="center" wrapText="1"/>
    </xf>
    <xf borderId="1" fillId="8" fontId="37" numFmtId="4" xfId="0" applyAlignment="1" applyBorder="1" applyFont="1" applyNumberFormat="1">
      <alignment shrinkToFit="0" vertical="center" wrapText="1"/>
    </xf>
    <xf borderId="1" fillId="17" fontId="28" numFmtId="0" xfId="0" applyAlignment="1" applyBorder="1" applyFont="1">
      <alignment shrinkToFit="0" vertical="center" wrapText="1"/>
    </xf>
    <xf borderId="1" fillId="7" fontId="28" numFmtId="0" xfId="0" applyAlignment="1" applyBorder="1" applyFont="1">
      <alignment shrinkToFit="0" vertical="center" wrapText="1"/>
    </xf>
    <xf borderId="0" fillId="0" fontId="31" numFmtId="0" xfId="0" applyAlignment="1" applyFont="1">
      <alignment shrinkToFit="0" vertical="bottom" wrapText="1"/>
    </xf>
    <xf borderId="0" fillId="0" fontId="31" numFmtId="0" xfId="0" applyAlignment="1" applyFont="1">
      <alignment readingOrder="0" shrinkToFit="0" vertical="bottom" wrapText="1"/>
    </xf>
    <xf borderId="0" fillId="0" fontId="5" numFmtId="0" xfId="0" applyAlignment="1" applyFont="1">
      <alignment horizontal="center" readingOrder="0"/>
    </xf>
    <xf borderId="0" fillId="0" fontId="5" numFmtId="0" xfId="0" applyAlignment="1" applyFont="1">
      <alignment horizontal="left" readingOrder="0" shrinkToFit="0" vertical="center" wrapText="1"/>
    </xf>
    <xf borderId="1" fillId="0" fontId="2" numFmtId="0" xfId="0" applyAlignment="1" applyBorder="1" applyFont="1">
      <alignment readingOrder="0" shrinkToFit="0" vertical="center" wrapText="0"/>
    </xf>
    <xf borderId="1" fillId="0" fontId="2" numFmtId="4" xfId="0" applyAlignment="1" applyBorder="1" applyFont="1" applyNumberForma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shrinkToFit="0" vertical="center" wrapText="1"/>
    </xf>
    <xf borderId="1" fillId="20" fontId="2" numFmtId="4" xfId="0" applyAlignment="1" applyBorder="1" applyFill="1" applyFont="1" applyNumberFormat="1">
      <alignment readingOrder="0" shrinkToFit="0" vertical="center" wrapText="0"/>
    </xf>
    <xf borderId="1" fillId="7" fontId="2" numFmtId="4" xfId="0" applyAlignment="1" applyBorder="1" applyFont="1" applyNumberFormat="1">
      <alignment readingOrder="0" shrinkToFit="0" vertical="center" wrapText="0"/>
    </xf>
    <xf borderId="1" fillId="11" fontId="2" numFmtId="0" xfId="0" applyAlignment="1" applyBorder="1" applyFont="1">
      <alignment readingOrder="0" shrinkToFit="0" vertical="center" wrapText="1"/>
    </xf>
    <xf borderId="1" fillId="0" fontId="2" numFmtId="4" xfId="0" applyAlignment="1" applyBorder="1" applyFont="1" applyNumberFormat="1">
      <alignment readingOrder="0" shrinkToFit="0" vertical="center" wrapText="1"/>
    </xf>
    <xf borderId="1" fillId="7" fontId="2" numFmtId="4" xfId="0" applyAlignment="1" applyBorder="1" applyFont="1" applyNumberFormat="1">
      <alignment readingOrder="0" shrinkToFit="0" vertical="center" wrapText="1"/>
    </xf>
    <xf borderId="1" fillId="0" fontId="2" numFmtId="4" xfId="0" applyAlignment="1" applyBorder="1" applyFont="1" applyNumberFormat="1">
      <alignment shrinkToFit="0" vertical="center" wrapText="0"/>
    </xf>
    <xf borderId="0" fillId="0" fontId="7" numFmtId="0" xfId="0" applyFont="1"/>
    <xf borderId="1" fillId="0" fontId="7" numFmtId="0" xfId="0" applyAlignment="1" applyBorder="1" applyFont="1">
      <alignment readingOrder="0" shrinkToFit="0" vertical="center" wrapText="0"/>
    </xf>
    <xf borderId="1" fillId="0" fontId="7" numFmtId="4" xfId="0" applyAlignment="1" applyBorder="1" applyFont="1" applyNumberFormat="1">
      <alignment readingOrder="0" shrinkToFit="0" vertical="center" wrapText="0"/>
    </xf>
    <xf borderId="1" fillId="0" fontId="7" numFmtId="0" xfId="0" applyAlignment="1" applyBorder="1" applyFont="1">
      <alignment shrinkToFit="0" vertical="center" wrapText="0"/>
    </xf>
    <xf borderId="1" fillId="0" fontId="2" numFmtId="0" xfId="0" applyAlignment="1" applyBorder="1" applyFont="1">
      <alignment readingOrder="0" shrinkToFit="0" vertical="center" wrapText="1"/>
    </xf>
    <xf borderId="0" fillId="21" fontId="2" numFmtId="0" xfId="0" applyAlignment="1" applyFill="1" applyFont="1">
      <alignment readingOrder="0"/>
    </xf>
    <xf borderId="1" fillId="21" fontId="2" numFmtId="0" xfId="0" applyAlignment="1" applyBorder="1" applyFont="1">
      <alignment readingOrder="0" shrinkToFit="0" vertical="center" wrapText="1"/>
    </xf>
    <xf borderId="1" fillId="21" fontId="2" numFmtId="4" xfId="0" applyAlignment="1" applyBorder="1" applyFont="1" applyNumberFormat="1">
      <alignment readingOrder="0" shrinkToFit="0" vertical="center" wrapText="1"/>
    </xf>
    <xf borderId="1" fillId="21" fontId="2" numFmtId="4" xfId="0" applyAlignment="1" applyBorder="1" applyFont="1" applyNumberFormat="1">
      <alignment shrinkToFit="0" vertical="center" wrapText="1"/>
    </xf>
    <xf borderId="1" fillId="21" fontId="2" numFmtId="0" xfId="0" applyAlignment="1" applyBorder="1" applyFont="1">
      <alignment shrinkToFit="0" vertical="center" wrapText="1"/>
    </xf>
    <xf borderId="0" fillId="21" fontId="2" numFmtId="0" xfId="0" applyFont="1"/>
    <xf borderId="0" fillId="22" fontId="2" numFmtId="0" xfId="0" applyAlignment="1" applyFill="1" applyFont="1">
      <alignment readingOrder="0"/>
    </xf>
    <xf borderId="1" fillId="22" fontId="2" numFmtId="0" xfId="0" applyAlignment="1" applyBorder="1" applyFont="1">
      <alignment readingOrder="0" shrinkToFit="0" vertical="center" wrapText="1"/>
    </xf>
    <xf borderId="1" fillId="22" fontId="2" numFmtId="4" xfId="0" applyAlignment="1" applyBorder="1" applyFont="1" applyNumberFormat="1">
      <alignment readingOrder="0" shrinkToFit="0" vertical="center" wrapText="1"/>
    </xf>
    <xf borderId="1" fillId="22" fontId="2" numFmtId="0" xfId="0" applyAlignment="1" applyBorder="1" applyFont="1">
      <alignment shrinkToFit="0" vertical="center" wrapText="1"/>
    </xf>
    <xf borderId="0" fillId="22" fontId="2" numFmtId="0" xfId="0" applyFont="1"/>
    <xf borderId="0" fillId="23" fontId="2" numFmtId="0" xfId="0" applyAlignment="1" applyFill="1" applyFont="1">
      <alignment readingOrder="0"/>
    </xf>
    <xf borderId="1" fillId="23" fontId="2" numFmtId="0" xfId="0" applyAlignment="1" applyBorder="1" applyFont="1">
      <alignment readingOrder="0" shrinkToFit="0" vertical="center" wrapText="1"/>
    </xf>
    <xf borderId="1" fillId="23" fontId="2" numFmtId="4" xfId="0" applyAlignment="1" applyBorder="1" applyFont="1" applyNumberFormat="1">
      <alignment readingOrder="0" shrinkToFit="0" vertical="center" wrapText="1"/>
    </xf>
    <xf borderId="1" fillId="23" fontId="2" numFmtId="0" xfId="0" applyAlignment="1" applyBorder="1" applyFont="1">
      <alignment shrinkToFit="0" vertical="center" wrapText="1"/>
    </xf>
    <xf borderId="0" fillId="23" fontId="2" numFmtId="0" xfId="0" applyFont="1"/>
    <xf borderId="1" fillId="7" fontId="2" numFmtId="0" xfId="0" applyAlignment="1" applyBorder="1" applyFont="1">
      <alignment readingOrder="0" shrinkToFit="0" vertical="center" wrapText="1"/>
    </xf>
    <xf borderId="1" fillId="7" fontId="2" numFmtId="0" xfId="0" applyAlignment="1" applyBorder="1" applyFont="1">
      <alignment shrinkToFit="0" vertical="center" wrapText="1"/>
    </xf>
    <xf borderId="1" fillId="0" fontId="2" numFmtId="4" xfId="0" applyAlignment="1" applyBorder="1" applyFont="1" applyNumberFormat="1">
      <alignment shrinkToFit="0" vertical="center" wrapText="1"/>
    </xf>
    <xf borderId="1" fillId="0" fontId="7" numFmtId="4" xfId="0" applyAlignment="1" applyBorder="1" applyFont="1" applyNumberFormat="1">
      <alignment shrinkToFit="0" vertical="center" wrapText="0"/>
    </xf>
    <xf borderId="1" fillId="23" fontId="2" numFmtId="0" xfId="0" applyAlignment="1" applyBorder="1" applyFont="1">
      <alignment shrinkToFit="0" vertical="center" wrapText="0"/>
    </xf>
    <xf borderId="1" fillId="14" fontId="2" numFmtId="0" xfId="0" applyAlignment="1" applyBorder="1" applyFont="1">
      <alignment readingOrder="0" shrinkToFit="0" vertical="center" wrapText="1"/>
    </xf>
    <xf borderId="1" fillId="0" fontId="2" numFmtId="0" xfId="0" applyAlignment="1" applyBorder="1" applyFont="1">
      <alignment shrinkToFit="0" vertical="center" wrapText="0"/>
    </xf>
    <xf borderId="1" fillId="23" fontId="2" numFmtId="0" xfId="0" applyAlignment="1" applyBorder="1" applyFont="1">
      <alignment readingOrder="0" shrinkToFit="0" vertical="center" wrapText="0"/>
    </xf>
    <xf borderId="1" fillId="22" fontId="2" numFmtId="0" xfId="0" applyAlignment="1" applyBorder="1" applyFont="1">
      <alignment shrinkToFit="0" vertical="center" wrapText="0"/>
    </xf>
    <xf borderId="1" fillId="22" fontId="2" numFmtId="0" xfId="0" applyAlignment="1" applyBorder="1" applyFont="1">
      <alignment readingOrder="0" shrinkToFit="0" vertical="center" wrapText="0"/>
    </xf>
    <xf borderId="1" fillId="0" fontId="2" numFmtId="0" xfId="0" applyAlignment="1" applyBorder="1" applyFont="1">
      <alignment shrinkToFit="0" vertical="center" wrapText="0"/>
    </xf>
    <xf borderId="1" fillId="0" fontId="2" numFmtId="0" xfId="0" applyAlignment="1" applyBorder="1" applyFont="1">
      <alignment readingOrder="0"/>
    </xf>
    <xf borderId="1" fillId="23" fontId="2" numFmtId="0" xfId="0" applyAlignment="1" applyBorder="1" applyFont="1">
      <alignment readingOrder="0" shrinkToFit="0" wrapText="1"/>
    </xf>
    <xf borderId="1" fillId="23" fontId="2" numFmtId="0" xfId="0" applyAlignment="1" applyBorder="1" applyFont="1">
      <alignment shrinkToFit="0" wrapText="1"/>
    </xf>
    <xf borderId="1" fillId="0" fontId="2" numFmtId="0" xfId="0" applyAlignment="1" applyBorder="1" applyFont="1">
      <alignment readingOrder="0" shrinkToFit="0" wrapText="1"/>
    </xf>
    <xf borderId="1" fillId="0" fontId="2" numFmtId="0" xfId="0" applyAlignment="1" applyBorder="1" applyFont="1">
      <alignment shrinkToFit="0" wrapText="1"/>
    </xf>
    <xf borderId="0" fillId="0" fontId="45" numFmtId="0" xfId="0" applyAlignment="1" applyFont="1">
      <alignment readingOrder="0"/>
    </xf>
    <xf borderId="0" fillId="0" fontId="15" numFmtId="0" xfId="0" applyAlignment="1" applyFont="1">
      <alignment horizontal="center" readingOrder="0"/>
    </xf>
    <xf borderId="0" fillId="0" fontId="15" numFmtId="0" xfId="0" applyAlignment="1" applyFont="1">
      <alignment horizontal="left" readingOrder="0" shrinkToFit="0" vertical="center" wrapText="1"/>
    </xf>
    <xf borderId="1" fillId="0" fontId="27" numFmtId="0" xfId="0" applyAlignment="1" applyBorder="1" applyFont="1">
      <alignment readingOrder="0" shrinkToFit="0" vertical="center" wrapText="0"/>
    </xf>
    <xf borderId="1" fillId="0" fontId="27" numFmtId="4" xfId="0" applyAlignment="1" applyBorder="1" applyFont="1" applyNumberFormat="1">
      <alignment readingOrder="0" shrinkToFit="0" vertical="center" wrapText="0"/>
    </xf>
    <xf borderId="1" fillId="0" fontId="27" numFmtId="0" xfId="0" applyAlignment="1" applyBorder="1" applyFont="1">
      <alignment readingOrder="0" shrinkToFit="0" vertical="center" wrapText="1"/>
    </xf>
    <xf borderId="1" fillId="0" fontId="27" numFmtId="0" xfId="0" applyAlignment="1" applyBorder="1" applyFont="1">
      <alignment shrinkToFit="0" vertical="center" wrapText="1"/>
    </xf>
    <xf borderId="1" fillId="0" fontId="11" numFmtId="0" xfId="0" applyAlignment="1" applyBorder="1" applyFont="1">
      <alignment readingOrder="0" shrinkToFit="0" vertical="center" wrapText="1"/>
    </xf>
    <xf borderId="1" fillId="0" fontId="27" numFmtId="4" xfId="0" applyAlignment="1" applyBorder="1" applyFont="1" applyNumberFormat="1">
      <alignment shrinkToFit="0" vertical="center" wrapText="0"/>
    </xf>
    <xf borderId="0" fillId="0" fontId="46" numFmtId="0" xfId="0" applyFont="1"/>
    <xf borderId="1" fillId="0" fontId="46" numFmtId="0" xfId="0" applyAlignment="1" applyBorder="1" applyFont="1">
      <alignment readingOrder="0" shrinkToFit="0" vertical="center" wrapText="0"/>
    </xf>
    <xf borderId="1" fillId="0" fontId="46" numFmtId="4" xfId="0" applyAlignment="1" applyBorder="1" applyFont="1" applyNumberFormat="1">
      <alignment readingOrder="0" shrinkToFit="0" vertical="center" wrapText="0"/>
    </xf>
    <xf borderId="1" fillId="0" fontId="46" numFmtId="0" xfId="0" applyAlignment="1" applyBorder="1" applyFont="1">
      <alignment shrinkToFit="0" vertical="center" wrapText="0"/>
    </xf>
    <xf borderId="1" fillId="0" fontId="27" numFmtId="0" xfId="0" applyAlignment="1" applyBorder="1" applyFont="1">
      <alignment readingOrder="0" shrinkToFit="0" vertical="center" wrapText="1"/>
    </xf>
    <xf borderId="1" fillId="0" fontId="27" numFmtId="4" xfId="0" applyAlignment="1" applyBorder="1" applyFont="1" applyNumberFormat="1">
      <alignment readingOrder="0" shrinkToFit="0" vertical="center" wrapText="1"/>
    </xf>
    <xf borderId="1" fillId="0" fontId="27" numFmtId="4" xfId="0" applyAlignment="1" applyBorder="1" applyFont="1" applyNumberFormat="1">
      <alignment shrinkToFit="0" vertical="center" wrapText="1"/>
    </xf>
    <xf borderId="1" fillId="24" fontId="27" numFmtId="0" xfId="0" applyAlignment="1" applyBorder="1" applyFill="1" applyFont="1">
      <alignment readingOrder="0" shrinkToFit="0" vertical="center" wrapText="1"/>
    </xf>
    <xf borderId="1" fillId="24" fontId="27" numFmtId="4" xfId="0" applyAlignment="1" applyBorder="1" applyFont="1" applyNumberFormat="1">
      <alignment readingOrder="0" shrinkToFit="0" vertical="center" wrapText="1"/>
    </xf>
    <xf borderId="1" fillId="0" fontId="46" numFmtId="4" xfId="0" applyAlignment="1" applyBorder="1" applyFont="1" applyNumberFormat="1">
      <alignment shrinkToFit="0" vertical="center" wrapText="0"/>
    </xf>
    <xf borderId="1" fillId="0" fontId="27" numFmtId="0" xfId="0" applyAlignment="1" applyBorder="1" applyFont="1">
      <alignment shrinkToFit="0" vertical="center" wrapText="0"/>
    </xf>
    <xf borderId="0" fillId="0" fontId="15" numFmtId="49" xfId="0" applyAlignment="1" applyFont="1" applyNumberFormat="1">
      <alignment horizontal="left" readingOrder="0" shrinkToFit="0" vertical="center" wrapText="1"/>
    </xf>
    <xf borderId="1" fillId="0" fontId="27" numFmtId="0" xfId="0" applyAlignment="1" applyBorder="1" applyFont="1">
      <alignment readingOrder="0" shrinkToFit="0" vertical="center" wrapText="0"/>
    </xf>
    <xf borderId="1" fillId="0" fontId="27" numFmtId="4" xfId="0" applyAlignment="1" applyBorder="1" applyFont="1" applyNumberFormat="1">
      <alignment readingOrder="0" shrinkToFit="0" vertical="center" wrapText="0"/>
    </xf>
    <xf borderId="1" fillId="0" fontId="27" numFmtId="0" xfId="0" applyAlignment="1" applyBorder="1" applyFont="1">
      <alignment shrinkToFit="0" vertical="center" wrapText="0"/>
    </xf>
    <xf borderId="1" fillId="0" fontId="47" numFmtId="0" xfId="0" applyAlignment="1" applyBorder="1" applyFont="1">
      <alignment readingOrder="0" shrinkToFit="0" vertical="center" wrapText="0"/>
    </xf>
    <xf borderId="0" fillId="0" fontId="27" numFmtId="0" xfId="0" applyAlignment="1" applyFont="1">
      <alignment readingOrder="0" shrinkToFit="0" vertical="center" wrapText="0"/>
    </xf>
    <xf borderId="0" fillId="0" fontId="27" numFmtId="4" xfId="0" applyAlignment="1" applyFont="1" applyNumberFormat="1">
      <alignment shrinkToFit="0" vertical="center" wrapText="0"/>
    </xf>
    <xf borderId="0" fillId="0" fontId="27" numFmtId="0" xfId="0" applyAlignment="1" applyFont="1">
      <alignment shrinkToFit="0" vertical="center" wrapText="0"/>
    </xf>
    <xf borderId="0" fillId="25" fontId="48" numFmtId="0" xfId="0" applyAlignment="1" applyFill="1" applyFont="1">
      <alignment horizontal="center" readingOrder="0" vertical="center"/>
    </xf>
    <xf borderId="0" fillId="26" fontId="49" numFmtId="0" xfId="0" applyAlignment="1" applyFill="1" applyFont="1">
      <alignment horizontal="center" readingOrder="0" shrinkToFit="0" wrapText="1"/>
    </xf>
    <xf borderId="0" fillId="10" fontId="50" numFmtId="0" xfId="0" applyAlignment="1" applyFont="1">
      <alignment readingOrder="0" shrinkToFit="0" wrapText="1"/>
    </xf>
    <xf borderId="0" fillId="27" fontId="49" numFmtId="0" xfId="0" applyAlignment="1" applyFill="1" applyFont="1">
      <alignment horizontal="center" readingOrder="0" shrinkToFit="0" wrapText="1"/>
    </xf>
    <xf borderId="1" fillId="10" fontId="50" numFmtId="0" xfId="0" applyAlignment="1" applyBorder="1" applyFont="1">
      <alignment readingOrder="0" shrinkToFit="0" wrapText="1"/>
    </xf>
    <xf borderId="1" fillId="10" fontId="50" numFmtId="0" xfId="0" applyAlignment="1" applyBorder="1" applyFont="1">
      <alignment readingOrder="0"/>
    </xf>
    <xf borderId="1" fillId="10" fontId="50" numFmtId="0" xfId="0" applyAlignment="1" applyBorder="1" applyFont="1">
      <alignment shrinkToFit="0" wrapText="1"/>
    </xf>
    <xf borderId="1" fillId="3" fontId="50" numFmtId="0" xfId="0" applyAlignment="1" applyBorder="1" applyFont="1">
      <alignment readingOrder="0"/>
    </xf>
    <xf borderId="1" fillId="3" fontId="50" numFmtId="0" xfId="0" applyAlignment="1" applyBorder="1" applyFont="1">
      <alignment readingOrder="0" shrinkToFit="0" wrapText="1"/>
    </xf>
    <xf borderId="1" fillId="3" fontId="50" numFmtId="0" xfId="0" applyAlignment="1" applyBorder="1" applyFont="1">
      <alignment shrinkToFit="0" wrapText="1"/>
    </xf>
    <xf borderId="5" fillId="27" fontId="49" numFmtId="0" xfId="0" applyAlignment="1" applyBorder="1" applyFont="1">
      <alignment horizontal="center" readingOrder="0" shrinkToFit="0" wrapText="1"/>
    </xf>
    <xf borderId="1" fillId="3" fontId="50" numFmtId="0" xfId="0" applyBorder="1" applyFont="1"/>
    <xf borderId="1" fillId="3" fontId="51" numFmtId="0" xfId="0" applyAlignment="1" applyBorder="1" applyFont="1">
      <alignment readingOrder="0"/>
    </xf>
    <xf borderId="0" fillId="16" fontId="48" numFmtId="0" xfId="0" applyAlignment="1" applyFont="1">
      <alignment horizontal="center" readingOrder="0"/>
    </xf>
    <xf borderId="1" fillId="14" fontId="50" numFmtId="0" xfId="0" applyAlignment="1" applyBorder="1" applyFont="1">
      <alignment readingOrder="0"/>
    </xf>
    <xf borderId="1" fillId="0" fontId="50" numFmtId="0" xfId="0" applyAlignment="1" applyBorder="1" applyFont="1">
      <alignment readingOrder="0"/>
    </xf>
    <xf borderId="1" fillId="7" fontId="50" numFmtId="0" xfId="0" applyAlignment="1" applyBorder="1" applyFont="1">
      <alignment readingOrder="0" shrinkToFit="0" wrapText="1"/>
    </xf>
    <xf borderId="1" fillId="0" fontId="50" numFmtId="0" xfId="0" applyAlignment="1" applyBorder="1" applyFont="1">
      <alignment readingOrder="0" shrinkToFit="0" wrapText="1"/>
    </xf>
    <xf borderId="1" fillId="0" fontId="50" numFmtId="0" xfId="0" applyBorder="1" applyFont="1"/>
    <xf borderId="1" fillId="0" fontId="50" numFmtId="0" xfId="0" applyAlignment="1" applyBorder="1" applyFont="1">
      <alignment shrinkToFit="0" wrapText="1"/>
    </xf>
    <xf borderId="1" fillId="17" fontId="35" numFmtId="4" xfId="0" applyAlignment="1" applyBorder="1" applyFont="1" applyNumberFormat="1">
      <alignment horizontal="right" shrinkToFit="0" vertical="center" wrapText="1"/>
    </xf>
    <xf borderId="1" fillId="8" fontId="32" numFmtId="0" xfId="0" applyAlignment="1" applyBorder="1" applyFont="1">
      <alignment shrinkToFit="0" vertical="center" wrapText="1"/>
    </xf>
    <xf borderId="1" fillId="8" fontId="32" numFmtId="4" xfId="0" applyAlignment="1" applyBorder="1" applyFont="1" applyNumberFormat="1">
      <alignment horizontal="right" shrinkToFit="0" vertical="center" wrapText="1"/>
    </xf>
    <xf borderId="1" fillId="8" fontId="32" numFmtId="0" xfId="0" applyAlignment="1" applyBorder="1" applyFont="1">
      <alignment shrinkToFit="0" vertical="center" wrapText="1"/>
    </xf>
    <xf borderId="1" fillId="8" fontId="28" numFmtId="0" xfId="0" applyAlignment="1" applyBorder="1" applyFont="1">
      <alignment shrinkToFit="0" vertical="center" wrapText="1"/>
    </xf>
    <xf borderId="1" fillId="17" fontId="28" numFmtId="4" xfId="0" applyAlignment="1" applyBorder="1" applyFont="1" applyNumberFormat="1">
      <alignment shrinkToFit="0" vertical="center" wrapText="1"/>
    </xf>
    <xf borderId="1" fillId="7" fontId="28" numFmtId="4" xfId="0" applyAlignment="1" applyBorder="1" applyFont="1" applyNumberFormat="1">
      <alignment shrinkToFit="0" vertical="center" wrapText="1"/>
    </xf>
    <xf borderId="1" fillId="7" fontId="32" numFmtId="0" xfId="0" applyAlignment="1" applyBorder="1" applyFont="1">
      <alignment shrinkToFit="0" wrapText="1"/>
    </xf>
    <xf borderId="1" fillId="7" fontId="35" numFmtId="4" xfId="0" applyAlignment="1" applyBorder="1" applyFont="1" applyNumberFormat="1">
      <alignment horizontal="right" shrinkToFit="0" wrapText="1"/>
    </xf>
    <xf borderId="1" fillId="7" fontId="28" numFmtId="0" xfId="0" applyAlignment="1" applyBorder="1" applyFont="1">
      <alignment shrinkToFit="0" wrapText="1"/>
    </xf>
    <xf borderId="1" fillId="0" fontId="47" numFmtId="0" xfId="0" applyAlignment="1" applyBorder="1" applyFont="1">
      <alignment readingOrder="0"/>
    </xf>
    <xf borderId="1" fillId="0" fontId="27" numFmtId="0" xfId="0" applyAlignment="1" applyBorder="1" applyFont="1">
      <alignment readingOrder="0"/>
    </xf>
    <xf borderId="1" fillId="0" fontId="27" numFmtId="0" xfId="0" applyBorder="1" applyFont="1"/>
    <xf borderId="1" fillId="0" fontId="27" numFmtId="10" xfId="0" applyBorder="1" applyFont="1" applyNumberFormat="1"/>
  </cellXfs>
  <cellStyles count="1">
    <cellStyle xfId="0" name="Normal" builtinId="0"/>
  </cellStyles>
  <dxfs count="7">
    <dxf>
      <font/>
      <fill>
        <patternFill patternType="none"/>
      </fill>
      <border/>
    </dxf>
    <dxf>
      <font/>
      <fill>
        <patternFill patternType="solid">
          <fgColor rgb="FF64AD7B"/>
          <bgColor rgb="FF64AD7B"/>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64AD7B"/>
        </left>
        <right style="thin">
          <color rgb="FF64AD7B"/>
        </right>
        <top style="thin">
          <color rgb="FF64AD7B"/>
        </top>
        <bottom style="thin">
          <color rgb="FF64AD7B"/>
        </bottom>
      </border>
    </dxf>
    <dxf>
      <font/>
      <fill>
        <patternFill patternType="solid">
          <fgColor rgb="FF79AAB9"/>
          <bgColor rgb="FF79AAB9"/>
        </patternFill>
      </fill>
      <border/>
    </dxf>
    <dxf>
      <font/>
      <fill>
        <patternFill patternType="solid">
          <fgColor rgb="FFB27474"/>
          <bgColor rgb="FFB27474"/>
        </patternFill>
      </fill>
      <border/>
    </dxf>
  </dxfs>
  <tableStyles count="17">
    <tableStyle count="4" pivot="0" name="ГКС-style">
      <tableStyleElement dxfId="1" type="headerRow"/>
      <tableStyleElement dxfId="2" type="firstRowStripe"/>
      <tableStyleElement dxfId="3" type="secondRowStripe"/>
      <tableStyleElement dxfId="4" size="0" type="wholeTable"/>
    </tableStyle>
    <tableStyle count="4" pivot="0" name="ГКС-style 2">
      <tableStyleElement dxfId="5" type="headerRow"/>
      <tableStyleElement dxfId="2" type="firstRowStripe"/>
      <tableStyleElement dxfId="3" type="secondRowStripe"/>
      <tableStyleElement dxfId="4" size="0" type="wholeTable"/>
    </tableStyle>
    <tableStyle count="2" pivot="0" name="ГКС-style 3">
      <tableStyleElement dxfId="3" type="firstRowStripe"/>
      <tableStyleElement dxfId="2" type="secondRowStripe"/>
    </tableStyle>
    <tableStyle count="2" pivot="0" name="ГКС-style 4">
      <tableStyleElement dxfId="2" type="firstRowStripe"/>
      <tableStyleElement dxfId="3" type="secondRowStripe"/>
    </tableStyle>
    <tableStyle count="4" pivot="0" name="ГКС-style 5">
      <tableStyleElement dxfId="6" type="headerRow"/>
      <tableStyleElement dxfId="2" type="firstRowStripe"/>
      <tableStyleElement dxfId="3" type="secondRowStripe"/>
      <tableStyleElement dxfId="4" size="0" type="wholeTable"/>
    </tableStyle>
    <tableStyle count="4" pivot="0" name="БОЛТ-style">
      <tableStyleElement dxfId="1" type="headerRow"/>
      <tableStyleElement dxfId="2" type="firstRowStripe"/>
      <tableStyleElement dxfId="3" type="secondRowStripe"/>
      <tableStyleElement dxfId="4" size="0" type="wholeTable"/>
    </tableStyle>
    <tableStyle count="4" pivot="0" name="БОЛТ-style 2">
      <tableStyleElement dxfId="5" type="headerRow"/>
      <tableStyleElement dxfId="2" type="firstRowStripe"/>
      <tableStyleElement dxfId="3" type="secondRowStripe"/>
      <tableStyleElement dxfId="4" size="0" type="wholeTable"/>
    </tableStyle>
    <tableStyle count="4" pivot="0" name="БОЛТ-style 3">
      <tableStyleElement dxfId="6" type="headerRow"/>
      <tableStyleElement dxfId="2" type="firstRowStripe"/>
      <tableStyleElement dxfId="3" type="secondRowStripe"/>
      <tableStyleElement dxfId="4" size="0" type="wholeTable"/>
    </tableStyle>
    <tableStyle count="4" pivot="0" name="RUSAPAI-style">
      <tableStyleElement dxfId="1" type="headerRow"/>
      <tableStyleElement dxfId="2" type="firstRowStripe"/>
      <tableStyleElement dxfId="3" type="secondRowStripe"/>
      <tableStyleElement dxfId="4" size="0" type="wholeTable"/>
    </tableStyle>
    <tableStyle count="4" pivot="0" name="RUSAPAI-style 2">
      <tableStyleElement dxfId="5" type="headerRow"/>
      <tableStyleElement dxfId="2" type="firstRowStripe"/>
      <tableStyleElement dxfId="3" type="secondRowStripe"/>
      <tableStyleElement dxfId="4" size="0" type="wholeTable"/>
    </tableStyle>
    <tableStyle count="4" pivot="0" name="RUSAPAI-style 3">
      <tableStyleElement dxfId="6" type="headerRow"/>
      <tableStyleElement dxfId="2" type="firstRowStripe"/>
      <tableStyleElement dxfId="3" type="secondRowStripe"/>
      <tableStyleElement dxfId="4" size="0" type="wholeTable"/>
    </tableStyle>
    <tableStyle count="4" pivot="0" name="ОРА-style">
      <tableStyleElement dxfId="1" type="headerRow"/>
      <tableStyleElement dxfId="2" type="firstRowStripe"/>
      <tableStyleElement dxfId="3" type="secondRowStripe"/>
      <tableStyleElement dxfId="4" size="0" type="wholeTable"/>
    </tableStyle>
    <tableStyle count="4" pivot="0" name="ОРА-style 2">
      <tableStyleElement dxfId="5" type="headerRow"/>
      <tableStyleElement dxfId="2" type="firstRowStripe"/>
      <tableStyleElement dxfId="3" type="secondRowStripe"/>
      <tableStyleElement dxfId="4" size="0" type="wholeTable"/>
    </tableStyle>
    <tableStyle count="4" pivot="0" name="ОРА-style 3">
      <tableStyleElement dxfId="6" type="headerRow"/>
      <tableStyleElement dxfId="2" type="firstRowStripe"/>
      <tableStyleElement dxfId="3" type="secondRowStripe"/>
      <tableStyleElement dxfId="4" size="0" type="wholeTable"/>
    </tableStyle>
    <tableStyle count="4" pivot="0" name="test-style">
      <tableStyleElement dxfId="1" type="headerRow"/>
      <tableStyleElement dxfId="2" type="firstRowStripe"/>
      <tableStyleElement dxfId="3" type="secondRowStripe"/>
      <tableStyleElement dxfId="4" size="0" type="wholeTable"/>
    </tableStyle>
    <tableStyle count="4" pivot="0" name="test-style 2">
      <tableStyleElement dxfId="5" type="headerRow"/>
      <tableStyleElement dxfId="2" type="firstRowStripe"/>
      <tableStyleElement dxfId="3" type="secondRowStripe"/>
      <tableStyleElement dxfId="4" size="0" type="wholeTable"/>
    </tableStyle>
    <tableStyle count="4" pivot="0" name="test-style 3">
      <tableStyleElement dxfId="6"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B4:K21" displayName="Целевые_клиенты" name="Целевые_клиенты" id="1">
  <tableColumns count="10">
    <tableColumn name="Клиент" id="1"/>
    <tableColumn name="ВП 2025" id="2"/>
    <tableColumn name="Цель/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ГКС-style" showColumnStripes="0" showFirstColumn="1" showLastColumn="1" showRowStripes="1"/>
</table>
</file>

<file path=xl/tables/table2.xml><?xml version="1.0" encoding="utf-8"?>
<table xmlns="http://schemas.openxmlformats.org/spreadsheetml/2006/main" ref="B25:K56" displayName="Нецелевые_клиенты" name="Нецелевые_клиенты" id="2">
  <autoFilter ref="$B$25:$K$56"/>
  <tableColumns count="10">
    <tableColumn name="Клиент" id="1"/>
    <tableColumn name="ВП 2025" id="2"/>
    <tableColumn name="Цель / 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ГКС-style 2" showColumnStripes="0" showFirstColumn="1" showLastColumn="1" showRowStripes="1"/>
</table>
</file>

<file path=xl/tables/table3.xml><?xml version="1.0" encoding="utf-8"?>
<table xmlns="http://schemas.openxmlformats.org/spreadsheetml/2006/main" headerRowCount="0" ref="Y57:AA57" displayName="Table_1" name="Table_1" id="3">
  <tableColumns count="3">
    <tableColumn name="Column1" id="1"/>
    <tableColumn name="Column2" id="2"/>
    <tableColumn name="Column3" id="3"/>
  </tableColumns>
  <tableStyleInfo name="ГКС-style 3" showColumnStripes="0" showFirstColumn="1" showLastColumn="1" showRowStripes="1"/>
</table>
</file>

<file path=xl/tables/table4.xml><?xml version="1.0" encoding="utf-8"?>
<table xmlns="http://schemas.openxmlformats.org/spreadsheetml/2006/main" headerRowCount="0" ref="B58:D58" displayName="Table_2" name="Table_2" id="4">
  <tableColumns count="3">
    <tableColumn name="Column1" id="1"/>
    <tableColumn name="Column2" id="2"/>
    <tableColumn name="Column3" id="3"/>
  </tableColumns>
  <tableStyleInfo name="ГКС-style 4" showColumnStripes="0" showFirstColumn="1" showLastColumn="1" showRowStripes="1"/>
</table>
</file>

<file path=xl/tables/table5.xml><?xml version="1.0" encoding="utf-8"?>
<table xmlns="http://schemas.openxmlformats.org/spreadsheetml/2006/main" ref="B68:K98" displayName="Потерянные_клиенты" name="Потерянные_клиенты" id="5">
  <tableColumns count="10">
    <tableColumn name="Клиент" id="1"/>
    <tableColumn name="Column 2" id="2"/>
    <tableColumn name="Клиентский менеджер" id="3"/>
    <tableColumn name="История/статус/причны расходв" id="4"/>
    <tableColumn name="Задача, которую надо решить" id="5"/>
    <tableColumn name="Column 6" id="6"/>
    <tableColumn name="Column 7" id="7"/>
    <tableColumn name="Column 8" id="8"/>
    <tableColumn name="Column 9" id="9"/>
    <tableColumn name="Column 10" id="10"/>
  </tableColumns>
  <tableStyleInfo name="ГКС-style 5" showColumnStripes="0" showFirstColumn="1" showLastColumn="1" showRowStripes="1"/>
</table>
</file>

<file path=xl/tables/table6.xml><?xml version="1.0" encoding="utf-8"?>
<table xmlns="http://schemas.openxmlformats.org/spreadsheetml/2006/main" ref="B4:K19" displayName="Целевые_клиенты_2" name="Целевые_клиенты_2" id="6">
  <tableColumns count="10">
    <tableColumn name="Клиент" id="1"/>
    <tableColumn name="ВП 2025" id="2"/>
    <tableColumn name="Цель/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БОЛТ-style" showColumnStripes="0" showFirstColumn="1" showLastColumn="1" showRowStripes="1"/>
</table>
</file>

<file path=xl/tables/table7.xml><?xml version="1.0" encoding="utf-8"?>
<table xmlns="http://schemas.openxmlformats.org/spreadsheetml/2006/main" ref="B22:K36" displayName="Нецелевые_клиенты_2" name="Нецелевые_клиенты_2" id="7">
  <tableColumns count="10">
    <tableColumn name="Клиент" id="1"/>
    <tableColumn name="ВП 2025" id="2"/>
    <tableColumn name="Цель / 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БОЛТ-style 2" showColumnStripes="0" showFirstColumn="1" showLastColumn="1" showRowStripes="1"/>
</table>
</file>

<file path=xl/tables/table8.xml><?xml version="1.0" encoding="utf-8"?>
<table xmlns="http://schemas.openxmlformats.org/spreadsheetml/2006/main" ref="B39:K58" displayName="Потерянные_клиенты_2" name="Потерянные_клиенты_2" id="8">
  <tableColumns count="10">
    <tableColumn name="Клиент" id="1"/>
    <tableColumn name="Статус прекращения взаимодействия" id="2"/>
    <tableColumn name="Потенциал на 2026" id="3"/>
    <tableColumn name="Риски" id="4"/>
    <tableColumn name="Возможности"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БОЛТ-style 3" showColumnStripes="0" showFirstColumn="1" showLastColumn="1" showRowStripes="1"/>
</table>
</file>

<file path=xl/tables/table9.xml><?xml version="1.0" encoding="utf-8"?>
<table xmlns="http://schemas.openxmlformats.org/spreadsheetml/2006/main" ref="B4:K17" displayName="Целевые_клиенты_RUS" name="Целевые_клиенты_RUS" id="9">
  <tableColumns count="10">
    <tableColumn name="Клиент" id="1"/>
    <tableColumn name="ВП 2025" id="2"/>
    <tableColumn name="Цель/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RUSAPAI-style" showColumnStripes="0" showFirstColumn="1" showLastColumn="1" showRowStripes="1"/>
</table>
</file>

<file path=xl/tables/table10.xml><?xml version="1.0" encoding="utf-8"?>
<table xmlns="http://schemas.openxmlformats.org/spreadsheetml/2006/main" ref="B20:K40" displayName="Нецелевые_клиенты_RUS" name="Нецелевые_клиенты_RUS" id="10">
  <tableColumns count="10">
    <tableColumn name="Клиент" id="1"/>
    <tableColumn name="ВП 2025" id="2"/>
    <tableColumn name="Цель / 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RUSAPAI-style 2" showColumnStripes="0" showFirstColumn="1" showLastColumn="1" showRowStripes="1"/>
</table>
</file>

<file path=xl/tables/table11.xml><?xml version="1.0" encoding="utf-8"?>
<table xmlns="http://schemas.openxmlformats.org/spreadsheetml/2006/main" ref="B43:K60" displayName="потерянные_клиенты_RUS" name="потерянные_клиенты_RUS" id="11">
  <tableColumns count="10">
    <tableColumn name="Клиент" id="1"/>
    <tableColumn name="Статус прекращения взаимодействия" id="2"/>
    <tableColumn name="Потенциал на 2026" id="3"/>
    <tableColumn name="Риски" id="4"/>
    <tableColumn name="Возможности"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RUSAPAI-style 3" showColumnStripes="0" showFirstColumn="1" showLastColumn="1" showRowStripes="1"/>
</table>
</file>

<file path=xl/tables/table12.xml><?xml version="1.0" encoding="utf-8"?>
<table xmlns="http://schemas.openxmlformats.org/spreadsheetml/2006/main" ref="B4:L13" displayName="Целевые_клиенты_3" name="Целевые_клиенты_3" id="12">
  <tableColumns count="11">
    <tableColumn name="Клиент" id="1"/>
    <tableColumn name="Бренд" id="2"/>
    <tableColumn name="ВП 2025" id="3"/>
    <tableColumn name="Цель/Прогноз на 2026" id="4"/>
    <tableColumn name="Риски" id="5"/>
    <tableColumn name="Возможности для апсейла" id="6"/>
    <tableColumn name="Задачи маркетолога" id="7"/>
    <tableColumn name="Задачи клиентского менеджера " id="8"/>
    <tableColumn name="Клиентский менеджер" id="9"/>
    <tableColumn name="Текущий статус / комментарии" id="10"/>
    <tableColumn name="Уже сделано" id="11"/>
  </tableColumns>
  <tableStyleInfo name="ОРА-style" showColumnStripes="0" showFirstColumn="1" showLastColumn="1" showRowStripes="1"/>
</table>
</file>

<file path=xl/tables/table13.xml><?xml version="1.0" encoding="utf-8"?>
<table xmlns="http://schemas.openxmlformats.org/spreadsheetml/2006/main" ref="B16:L30" displayName="Нецелевые_клиенты_3" name="Нецелевые_клиенты_3" id="13">
  <tableColumns count="11">
    <tableColumn name="Клиент" id="1"/>
    <tableColumn name="Бренд" id="2"/>
    <tableColumn name="ВП 2025" id="3"/>
    <tableColumn name="Цель / Прогноз на 2026" id="4"/>
    <tableColumn name="Риски" id="5"/>
    <tableColumn name="Возможности для апсейла" id="6"/>
    <tableColumn name="Задачи маркетолога" id="7"/>
    <tableColumn name="Задачи клиентского менеджера " id="8"/>
    <tableColumn name="Клиентский менеджер" id="9"/>
    <tableColumn name="Текущий статус / комментарии" id="10"/>
    <tableColumn name="Уже сделано" id="11"/>
  </tableColumns>
  <tableStyleInfo name="ОРА-style 2" showColumnStripes="0" showFirstColumn="1" showLastColumn="1" showRowStripes="1"/>
</table>
</file>

<file path=xl/tables/table14.xml><?xml version="1.0" encoding="utf-8"?>
<table xmlns="http://schemas.openxmlformats.org/spreadsheetml/2006/main" ref="B33:L50" displayName="Потерянные_клиенты_3" name="Потерянные_клиенты_3" id="14">
  <tableColumns count="11">
    <tableColumn name="Клиент" id="1"/>
    <tableColumn name="Бренд" id="2"/>
    <tableColumn name="Статус прекращения взаимодействия" id="3"/>
    <tableColumn name="Потенциал на 2026" id="4"/>
    <tableColumn name="Риски" id="5"/>
    <tableColumn name="Возможности" id="6"/>
    <tableColumn name="Задачи маркетолога" id="7"/>
    <tableColumn name="Задачи клиентского менеджера " id="8"/>
    <tableColumn name="Клиентский менеджер" id="9"/>
    <tableColumn name="Текущий статус / комментарии" id="10"/>
    <tableColumn name="Уже сделано" id="11"/>
  </tableColumns>
  <tableStyleInfo name="ОРА-style 3" showColumnStripes="0" showFirstColumn="1" showLastColumn="1" showRowStripes="1"/>
</table>
</file>

<file path=xl/tables/table15.xml><?xml version="1.0" encoding="utf-8"?>
<table xmlns="http://schemas.openxmlformats.org/spreadsheetml/2006/main" ref="B1:K17" displayName="Целевые_клиенты_4" name="Целевые_клиенты_4" id="15">
  <tableColumns count="10">
    <tableColumn name="Клиент" id="1"/>
    <tableColumn name="ВП 2025" id="2"/>
    <tableColumn name="Цель/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test-style" showColumnStripes="0" showFirstColumn="1" showLastColumn="1" showRowStripes="1"/>
</table>
</file>

<file path=xl/tables/table16.xml><?xml version="1.0" encoding="utf-8"?>
<table xmlns="http://schemas.openxmlformats.org/spreadsheetml/2006/main" ref="B20:K32" displayName="Нецелевые_клиенты_4" name="Нецелевые_клиенты_4" id="16">
  <tableColumns count="10">
    <tableColumn name="Клиент" id="1"/>
    <tableColumn name="ВП 2025" id="2"/>
    <tableColumn name="Цель / Прогноз на 2026" id="3"/>
    <tableColumn name="Риски" id="4"/>
    <tableColumn name="Возможности для апсейла" id="5"/>
    <tableColumn name="Задачи маркетолога" id="6"/>
    <tableColumn name="Задачи клиентского менеджера " id="7"/>
    <tableColumn name="Клиентский менеджер" id="8"/>
    <tableColumn name="Текущий статус / комментарии" id="9"/>
    <tableColumn name="Уже сделано" id="10"/>
  </tableColumns>
  <tableStyleInfo name="test-style 2" showColumnStripes="0" showFirstColumn="1" showLastColumn="1" showRowStripes="1"/>
</table>
</file>

<file path=xl/tables/table17.xml><?xml version="1.0" encoding="utf-8"?>
<table xmlns="http://schemas.openxmlformats.org/spreadsheetml/2006/main" ref="B37:K66" displayName="Потерянные_клиенты_4" name="Потерянные_клиенты_4" id="17">
  <tableColumns count="10">
    <tableColumn name="Клиент" id="1"/>
    <tableColumn name="Column 2" id="2"/>
    <tableColumn name="Клиентский менеджер" id="3"/>
    <tableColumn name="История/статус/причны расходв" id="4"/>
    <tableColumn name="Задача, которую надо решить" id="5"/>
    <tableColumn name="Column 6" id="6"/>
    <tableColumn name="Column 7" id="7"/>
    <tableColumn name="Column 8" id="8"/>
    <tableColumn name="Column 9" id="9"/>
    <tableColumn name="Column 10" id="10"/>
  </tableColumns>
  <tableStyleInfo name="test-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vk.com/id9068065" TargetMode="External"/><Relationship Id="rId3" Type="http://schemas.openxmlformats.org/officeDocument/2006/relationships/hyperlink" Target="http://zevsparts.ru/" TargetMode="External"/><Relationship Id="rId4" Type="http://schemas.openxmlformats.org/officeDocument/2006/relationships/hyperlink" Target="http://zevsparts.ru/" TargetMode="External"/><Relationship Id="rId5" Type="http://schemas.openxmlformats.org/officeDocument/2006/relationships/drawing" Target="../drawings/drawing2.xml"/><Relationship Id="rId6"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hSp5Tsu_prhwDl1L1otNpdFwRdP7vki3FCZTV55F5vI/edit?gid=0" TargetMode="External"/><Relationship Id="rId3" Type="http://schemas.openxmlformats.org/officeDocument/2006/relationships/drawing" Target="../drawings/drawing3.xml"/><Relationship Id="rId4" Type="http://schemas.openxmlformats.org/officeDocument/2006/relationships/vmlDrawing" Target="../drawings/vmlDrawing2.vml"/><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4"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6.xml"/><Relationship Id="rId6" Type="http://schemas.openxmlformats.org/officeDocument/2006/relationships/table" Target="../tables/table7.xml"/><Relationship Id="rId7"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 Id="rId9" Type="http://schemas.openxmlformats.org/officeDocument/2006/relationships/table" Target="../tables/table11.xml"/><Relationship Id="rId7" Type="http://schemas.openxmlformats.org/officeDocument/2006/relationships/table" Target="../tables/table9.xml"/><Relationship Id="rId8"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12.xml"/><Relationship Id="rId6" Type="http://schemas.openxmlformats.org/officeDocument/2006/relationships/table" Target="../tables/table13.xml"/><Relationship Id="rId7"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9.13"/>
    <col customWidth="1" min="2" max="2" width="5.38"/>
    <col customWidth="1" min="3" max="3" width="23.0"/>
    <col customWidth="1" min="4" max="4" width="16.88"/>
    <col customWidth="1" min="5" max="5" width="21.0"/>
    <col customWidth="1" min="6" max="6" width="16.88"/>
    <col customWidth="1" min="7" max="7" width="20.63"/>
    <col customWidth="1" min="8" max="8" width="24.88"/>
    <col customWidth="1" min="9" max="9" width="35.63"/>
    <col customWidth="1" min="10" max="10" width="71.25"/>
    <col customWidth="1" min="11" max="11" width="26.88"/>
    <col customWidth="1" min="12" max="12" width="44.38"/>
    <col customWidth="1" min="13" max="13" width="23.5"/>
  </cols>
  <sheetData>
    <row r="1">
      <c r="A1" s="1" t="s">
        <v>0</v>
      </c>
      <c r="N1" s="2"/>
      <c r="O1" s="2"/>
      <c r="P1" s="2"/>
      <c r="Q1" s="2"/>
      <c r="R1" s="2"/>
      <c r="S1" s="2"/>
      <c r="T1" s="2"/>
      <c r="U1" s="2"/>
      <c r="V1" s="2"/>
      <c r="W1" s="2"/>
      <c r="X1" s="2"/>
      <c r="Y1" s="2"/>
      <c r="Z1" s="2"/>
      <c r="AA1" s="2"/>
      <c r="AB1" s="2"/>
      <c r="AC1" s="2"/>
      <c r="AD1" s="2"/>
    </row>
    <row r="2">
      <c r="A2" s="3" t="s">
        <v>1</v>
      </c>
      <c r="N2" s="2"/>
      <c r="O2" s="2"/>
      <c r="P2" s="2"/>
      <c r="Q2" s="2"/>
      <c r="R2" s="2"/>
      <c r="S2" s="2"/>
      <c r="T2" s="2"/>
      <c r="U2" s="2"/>
      <c r="V2" s="2"/>
      <c r="W2" s="2"/>
      <c r="X2" s="2"/>
      <c r="Y2" s="2"/>
      <c r="Z2" s="2"/>
      <c r="AA2" s="2"/>
      <c r="AB2" s="2"/>
      <c r="AC2" s="2"/>
      <c r="AD2" s="2"/>
    </row>
    <row r="3">
      <c r="A3" s="4" t="s">
        <v>2</v>
      </c>
      <c r="L3" s="3"/>
      <c r="M3" s="3"/>
      <c r="N3" s="2"/>
      <c r="O3" s="2"/>
      <c r="P3" s="2"/>
      <c r="Q3" s="2"/>
      <c r="R3" s="2"/>
      <c r="S3" s="2"/>
      <c r="T3" s="2"/>
      <c r="U3" s="2"/>
      <c r="V3" s="2"/>
      <c r="W3" s="2"/>
      <c r="X3" s="2"/>
      <c r="Y3" s="2"/>
      <c r="Z3" s="2"/>
      <c r="AA3" s="2"/>
      <c r="AB3" s="2"/>
      <c r="AC3" s="2"/>
      <c r="AD3" s="2"/>
    </row>
    <row r="4">
      <c r="A4" s="5"/>
      <c r="B4" s="6" t="s">
        <v>3</v>
      </c>
      <c r="C4" s="6" t="s">
        <v>4</v>
      </c>
      <c r="D4" s="6" t="s">
        <v>5</v>
      </c>
      <c r="E4" s="6" t="s">
        <v>6</v>
      </c>
      <c r="F4" s="6" t="s">
        <v>7</v>
      </c>
      <c r="G4" s="6" t="s">
        <v>8</v>
      </c>
      <c r="H4" s="6" t="s">
        <v>9</v>
      </c>
      <c r="I4" s="6" t="s">
        <v>10</v>
      </c>
      <c r="J4" s="6" t="s">
        <v>11</v>
      </c>
      <c r="K4" s="6" t="s">
        <v>12</v>
      </c>
      <c r="L4" s="6" t="s">
        <v>13</v>
      </c>
      <c r="M4" s="6" t="s">
        <v>14</v>
      </c>
      <c r="N4" s="7"/>
      <c r="O4" s="7"/>
      <c r="P4" s="7"/>
      <c r="Q4" s="7"/>
      <c r="R4" s="7"/>
      <c r="S4" s="7"/>
      <c r="T4" s="7"/>
      <c r="U4" s="7"/>
      <c r="V4" s="7"/>
      <c r="W4" s="7"/>
      <c r="X4" s="7"/>
      <c r="Y4" s="7"/>
      <c r="Z4" s="7"/>
      <c r="AA4" s="7"/>
      <c r="AB4" s="7"/>
      <c r="AC4" s="7"/>
      <c r="AD4" s="7"/>
    </row>
    <row r="5">
      <c r="A5" s="8" t="s">
        <v>15</v>
      </c>
      <c r="B5" s="9">
        <v>1.0</v>
      </c>
      <c r="C5" s="10" t="s">
        <v>16</v>
      </c>
      <c r="D5" s="11" t="s">
        <v>17</v>
      </c>
      <c r="E5" s="11" t="s">
        <v>18</v>
      </c>
      <c r="F5" s="11" t="s">
        <v>19</v>
      </c>
      <c r="G5" s="11" t="s">
        <v>20</v>
      </c>
      <c r="H5" s="11" t="s">
        <v>21</v>
      </c>
      <c r="I5" s="11" t="s">
        <v>22</v>
      </c>
      <c r="J5" s="11" t="s">
        <v>23</v>
      </c>
      <c r="K5" s="11" t="s">
        <v>24</v>
      </c>
      <c r="L5" s="12" t="s">
        <v>25</v>
      </c>
      <c r="M5" s="12" t="s">
        <v>26</v>
      </c>
      <c r="N5" s="2"/>
      <c r="O5" s="2"/>
      <c r="P5" s="2"/>
      <c r="Q5" s="2"/>
      <c r="R5" s="2"/>
      <c r="S5" s="2"/>
      <c r="T5" s="2"/>
      <c r="U5" s="2"/>
      <c r="V5" s="2"/>
      <c r="W5" s="2"/>
      <c r="X5" s="2"/>
      <c r="Y5" s="2"/>
      <c r="Z5" s="2"/>
      <c r="AA5" s="2"/>
      <c r="AB5" s="2"/>
      <c r="AC5" s="2"/>
      <c r="AD5" s="2"/>
    </row>
    <row r="6">
      <c r="A6" s="13"/>
      <c r="B6" s="14">
        <v>2.0</v>
      </c>
      <c r="C6" s="15" t="s">
        <v>27</v>
      </c>
      <c r="D6" s="11" t="s">
        <v>28</v>
      </c>
      <c r="E6" s="11" t="s">
        <v>29</v>
      </c>
      <c r="F6" s="16"/>
      <c r="G6" s="17" t="s">
        <v>30</v>
      </c>
      <c r="H6" s="17" t="s">
        <v>31</v>
      </c>
      <c r="I6" s="17"/>
      <c r="J6" s="17" t="s">
        <v>32</v>
      </c>
      <c r="K6" s="17" t="s">
        <v>33</v>
      </c>
      <c r="L6" s="18" t="s">
        <v>34</v>
      </c>
      <c r="M6" s="18" t="s">
        <v>35</v>
      </c>
      <c r="N6" s="2"/>
      <c r="O6" s="2"/>
      <c r="P6" s="2"/>
      <c r="Q6" s="2"/>
      <c r="R6" s="2"/>
      <c r="S6" s="2"/>
      <c r="T6" s="2"/>
      <c r="U6" s="2"/>
      <c r="V6" s="2"/>
      <c r="W6" s="2"/>
      <c r="X6" s="2"/>
      <c r="Y6" s="2"/>
      <c r="Z6" s="2"/>
      <c r="AA6" s="2"/>
      <c r="AB6" s="2"/>
      <c r="AC6" s="2"/>
      <c r="AD6" s="2"/>
    </row>
    <row r="7">
      <c r="A7" s="13"/>
      <c r="B7" s="14">
        <v>3.0</v>
      </c>
      <c r="C7" s="19" t="s">
        <v>36</v>
      </c>
      <c r="D7" s="11" t="s">
        <v>17</v>
      </c>
      <c r="E7" s="11" t="s">
        <v>29</v>
      </c>
      <c r="F7" s="20"/>
      <c r="G7" s="21"/>
      <c r="H7" s="20" t="s">
        <v>37</v>
      </c>
      <c r="I7" s="22" t="s">
        <v>38</v>
      </c>
      <c r="J7" s="22" t="s">
        <v>39</v>
      </c>
      <c r="K7" s="20" t="s">
        <v>40</v>
      </c>
      <c r="L7" s="18" t="s">
        <v>41</v>
      </c>
      <c r="M7" s="18" t="s">
        <v>42</v>
      </c>
      <c r="N7" s="23"/>
      <c r="O7" s="23"/>
      <c r="P7" s="23"/>
      <c r="Q7" s="23"/>
      <c r="R7" s="23"/>
      <c r="S7" s="23"/>
      <c r="T7" s="23"/>
      <c r="U7" s="23"/>
      <c r="V7" s="23"/>
      <c r="W7" s="23"/>
      <c r="X7" s="23"/>
      <c r="Y7" s="23"/>
      <c r="Z7" s="23"/>
      <c r="AA7" s="23"/>
      <c r="AB7" s="23"/>
      <c r="AC7" s="23"/>
      <c r="AD7" s="23"/>
    </row>
    <row r="8">
      <c r="A8" s="13"/>
      <c r="B8" s="24">
        <v>4.0</v>
      </c>
      <c r="C8" s="24" t="s">
        <v>43</v>
      </c>
      <c r="D8" s="25" t="s">
        <v>17</v>
      </c>
      <c r="E8" s="25" t="s">
        <v>44</v>
      </c>
      <c r="F8" s="25" t="s">
        <v>45</v>
      </c>
      <c r="G8" s="25" t="s">
        <v>46</v>
      </c>
      <c r="H8" s="25" t="s">
        <v>47</v>
      </c>
      <c r="I8" s="26"/>
      <c r="J8" s="25" t="s">
        <v>48</v>
      </c>
      <c r="K8" s="26"/>
      <c r="L8" s="27" t="s">
        <v>49</v>
      </c>
      <c r="M8" s="27" t="s">
        <v>50</v>
      </c>
      <c r="N8" s="2"/>
      <c r="O8" s="2"/>
      <c r="P8" s="2"/>
      <c r="Q8" s="2"/>
      <c r="R8" s="2"/>
      <c r="S8" s="2"/>
      <c r="T8" s="2"/>
      <c r="U8" s="2"/>
      <c r="V8" s="2"/>
      <c r="W8" s="2"/>
      <c r="X8" s="2"/>
      <c r="Y8" s="2"/>
      <c r="Z8" s="2"/>
      <c r="AA8" s="2"/>
      <c r="AB8" s="2"/>
      <c r="AC8" s="2"/>
      <c r="AD8" s="2"/>
    </row>
    <row r="9">
      <c r="A9" s="13"/>
      <c r="B9" s="14">
        <v>5.0</v>
      </c>
      <c r="C9" s="28" t="s">
        <v>51</v>
      </c>
      <c r="D9" s="11" t="s">
        <v>17</v>
      </c>
      <c r="E9" s="11" t="s">
        <v>29</v>
      </c>
      <c r="F9" s="29"/>
      <c r="G9" s="29"/>
      <c r="H9" s="11"/>
      <c r="I9" s="11"/>
      <c r="J9" s="11" t="s">
        <v>52</v>
      </c>
      <c r="K9" s="11" t="s">
        <v>53</v>
      </c>
      <c r="L9" s="12" t="s">
        <v>54</v>
      </c>
      <c r="M9" s="12" t="s">
        <v>42</v>
      </c>
      <c r="N9" s="2"/>
      <c r="O9" s="2"/>
      <c r="P9" s="2"/>
      <c r="Q9" s="2"/>
      <c r="R9" s="2"/>
      <c r="S9" s="2"/>
      <c r="T9" s="2"/>
      <c r="U9" s="2"/>
      <c r="V9" s="2"/>
      <c r="W9" s="2"/>
      <c r="X9" s="2"/>
      <c r="Y9" s="2"/>
      <c r="Z9" s="2"/>
      <c r="AA9" s="2"/>
      <c r="AB9" s="2"/>
      <c r="AC9" s="2"/>
      <c r="AD9" s="2"/>
    </row>
    <row r="10">
      <c r="A10" s="13"/>
      <c r="B10" s="30">
        <v>6.0</v>
      </c>
      <c r="C10" s="31" t="s">
        <v>55</v>
      </c>
      <c r="D10" s="11" t="s">
        <v>28</v>
      </c>
      <c r="E10" s="11" t="s">
        <v>56</v>
      </c>
      <c r="F10" s="11" t="s">
        <v>57</v>
      </c>
      <c r="G10" s="11" t="s">
        <v>58</v>
      </c>
      <c r="H10" s="11"/>
      <c r="I10" s="29"/>
      <c r="J10" s="18" t="s">
        <v>59</v>
      </c>
      <c r="K10" s="11" t="s">
        <v>60</v>
      </c>
      <c r="L10" s="11" t="s">
        <v>61</v>
      </c>
      <c r="M10" s="11" t="s">
        <v>62</v>
      </c>
      <c r="N10" s="2"/>
      <c r="O10" s="2"/>
      <c r="P10" s="2"/>
      <c r="Q10" s="2"/>
      <c r="R10" s="2"/>
      <c r="S10" s="2"/>
      <c r="T10" s="2"/>
      <c r="U10" s="2"/>
      <c r="V10" s="2"/>
      <c r="W10" s="2"/>
      <c r="X10" s="2"/>
      <c r="Y10" s="2"/>
      <c r="Z10" s="2"/>
      <c r="AA10" s="2"/>
      <c r="AB10" s="2"/>
      <c r="AC10" s="2"/>
      <c r="AD10" s="2"/>
    </row>
    <row r="11">
      <c r="A11" s="13"/>
      <c r="B11" s="32">
        <v>7.0</v>
      </c>
      <c r="C11" s="32" t="s">
        <v>63</v>
      </c>
      <c r="D11" s="25" t="s">
        <v>64</v>
      </c>
      <c r="E11" s="25" t="s">
        <v>29</v>
      </c>
      <c r="F11" s="25" t="s">
        <v>65</v>
      </c>
      <c r="G11" s="25" t="s">
        <v>66</v>
      </c>
      <c r="H11" s="25" t="s">
        <v>67</v>
      </c>
      <c r="I11" s="26"/>
      <c r="J11" s="25" t="s">
        <v>68</v>
      </c>
      <c r="K11" s="25" t="s">
        <v>69</v>
      </c>
      <c r="L11" s="33"/>
      <c r="M11" s="27" t="s">
        <v>70</v>
      </c>
      <c r="N11" s="2"/>
      <c r="O11" s="2"/>
      <c r="P11" s="2"/>
      <c r="Q11" s="2"/>
      <c r="R11" s="2"/>
      <c r="S11" s="2"/>
      <c r="T11" s="2"/>
      <c r="U11" s="2"/>
      <c r="V11" s="2"/>
      <c r="W11" s="2"/>
      <c r="X11" s="2"/>
      <c r="Y11" s="2"/>
      <c r="Z11" s="2"/>
      <c r="AA11" s="2"/>
      <c r="AB11" s="2"/>
      <c r="AC11" s="2"/>
      <c r="AD11" s="2"/>
    </row>
    <row r="12">
      <c r="A12" s="13"/>
      <c r="B12" s="14">
        <v>8.0</v>
      </c>
      <c r="C12" s="15"/>
      <c r="D12" s="11"/>
      <c r="E12" s="11"/>
      <c r="F12" s="11"/>
      <c r="G12" s="11"/>
      <c r="H12" s="11"/>
      <c r="I12" s="11"/>
      <c r="J12" s="11"/>
      <c r="K12" s="11"/>
      <c r="L12" s="12"/>
      <c r="M12" s="12"/>
      <c r="N12" s="2"/>
      <c r="O12" s="2"/>
      <c r="P12" s="2"/>
      <c r="Q12" s="2"/>
      <c r="R12" s="2"/>
      <c r="S12" s="2"/>
      <c r="T12" s="2"/>
      <c r="U12" s="2"/>
      <c r="V12" s="2"/>
      <c r="W12" s="2"/>
      <c r="X12" s="2"/>
      <c r="Y12" s="2"/>
      <c r="Z12" s="2"/>
      <c r="AA12" s="2"/>
      <c r="AB12" s="2"/>
      <c r="AC12" s="2"/>
      <c r="AD12" s="2"/>
    </row>
    <row r="13">
      <c r="A13" s="13"/>
      <c r="B13" s="14">
        <v>9.0</v>
      </c>
      <c r="C13" s="28" t="s">
        <v>71</v>
      </c>
      <c r="D13" s="11" t="s">
        <v>17</v>
      </c>
      <c r="E13" s="11" t="s">
        <v>18</v>
      </c>
      <c r="F13" s="11" t="s">
        <v>72</v>
      </c>
      <c r="G13" s="11" t="s">
        <v>73</v>
      </c>
      <c r="H13" s="11"/>
      <c r="I13" s="11" t="s">
        <v>74</v>
      </c>
      <c r="J13" s="11" t="s">
        <v>75</v>
      </c>
      <c r="K13" s="11" t="s">
        <v>76</v>
      </c>
      <c r="L13" s="12" t="s">
        <v>77</v>
      </c>
      <c r="M13" s="12" t="s">
        <v>78</v>
      </c>
      <c r="N13" s="2"/>
      <c r="O13" s="2"/>
      <c r="P13" s="2"/>
      <c r="Q13" s="2"/>
      <c r="R13" s="2"/>
      <c r="S13" s="2"/>
      <c r="T13" s="2"/>
      <c r="U13" s="2"/>
      <c r="V13" s="2"/>
      <c r="W13" s="2"/>
      <c r="X13" s="2"/>
      <c r="Y13" s="2"/>
      <c r="Z13" s="2"/>
      <c r="AA13" s="2"/>
      <c r="AB13" s="2"/>
      <c r="AC13" s="2"/>
      <c r="AD13" s="2"/>
    </row>
    <row r="14">
      <c r="A14" s="34"/>
      <c r="B14" s="14">
        <v>10.0</v>
      </c>
      <c r="C14" s="15" t="s">
        <v>79</v>
      </c>
      <c r="D14" s="11" t="s">
        <v>28</v>
      </c>
      <c r="E14" s="11" t="s">
        <v>44</v>
      </c>
      <c r="F14" s="11" t="s">
        <v>80</v>
      </c>
      <c r="G14" s="11" t="s">
        <v>81</v>
      </c>
      <c r="H14" s="11" t="s">
        <v>82</v>
      </c>
      <c r="I14" s="29"/>
      <c r="J14" s="29"/>
      <c r="K14" s="29"/>
      <c r="L14" s="35"/>
      <c r="M14" s="12" t="s">
        <v>70</v>
      </c>
      <c r="N14" s="2"/>
      <c r="O14" s="2"/>
      <c r="P14" s="2"/>
      <c r="Q14" s="2"/>
      <c r="R14" s="2"/>
      <c r="S14" s="2"/>
      <c r="T14" s="2"/>
      <c r="U14" s="2"/>
      <c r="V14" s="2"/>
      <c r="W14" s="2"/>
      <c r="X14" s="2"/>
      <c r="Y14" s="2"/>
      <c r="Z14" s="2"/>
      <c r="AA14" s="2"/>
      <c r="AB14" s="2"/>
      <c r="AC14" s="2"/>
      <c r="AD14" s="2"/>
    </row>
    <row r="15">
      <c r="A15" s="36" t="s">
        <v>83</v>
      </c>
      <c r="B15" s="37">
        <v>11.0</v>
      </c>
      <c r="C15" s="11" t="s">
        <v>84</v>
      </c>
      <c r="D15" s="11" t="s">
        <v>17</v>
      </c>
      <c r="E15" s="11" t="s">
        <v>85</v>
      </c>
      <c r="F15" s="29"/>
      <c r="G15" s="11" t="s">
        <v>86</v>
      </c>
      <c r="H15" s="11" t="s">
        <v>87</v>
      </c>
      <c r="I15" s="29"/>
      <c r="J15" s="11" t="s">
        <v>88</v>
      </c>
      <c r="K15" s="11"/>
      <c r="L15" s="12" t="s">
        <v>89</v>
      </c>
      <c r="M15" s="12" t="s">
        <v>90</v>
      </c>
      <c r="N15" s="2"/>
      <c r="O15" s="2"/>
      <c r="P15" s="2"/>
      <c r="Q15" s="2"/>
      <c r="R15" s="2"/>
      <c r="S15" s="2"/>
      <c r="T15" s="2"/>
      <c r="U15" s="2"/>
      <c r="V15" s="2"/>
      <c r="W15" s="2"/>
      <c r="X15" s="2"/>
      <c r="Y15" s="2"/>
      <c r="Z15" s="2"/>
      <c r="AA15" s="2"/>
      <c r="AB15" s="2"/>
      <c r="AC15" s="2"/>
      <c r="AD15" s="2"/>
    </row>
    <row r="16" ht="231.0" customHeight="1">
      <c r="A16" s="13"/>
      <c r="B16" s="25">
        <v>12.0</v>
      </c>
      <c r="C16" s="25" t="s">
        <v>91</v>
      </c>
      <c r="D16" s="25" t="s">
        <v>17</v>
      </c>
      <c r="E16" s="25" t="s">
        <v>92</v>
      </c>
      <c r="F16" s="26"/>
      <c r="G16" s="25" t="s">
        <v>93</v>
      </c>
      <c r="H16" s="25" t="s">
        <v>94</v>
      </c>
      <c r="I16" s="25" t="s">
        <v>95</v>
      </c>
      <c r="J16" s="25" t="s">
        <v>96</v>
      </c>
      <c r="K16" s="25" t="s">
        <v>97</v>
      </c>
      <c r="L16" s="27" t="s">
        <v>98</v>
      </c>
      <c r="M16" s="27" t="s">
        <v>35</v>
      </c>
      <c r="N16" s="2"/>
      <c r="O16" s="2"/>
      <c r="P16" s="2"/>
      <c r="Q16" s="2"/>
      <c r="R16" s="2"/>
      <c r="S16" s="2"/>
      <c r="T16" s="2"/>
      <c r="U16" s="2"/>
      <c r="V16" s="2"/>
      <c r="W16" s="2"/>
      <c r="X16" s="2"/>
      <c r="Y16" s="2"/>
      <c r="Z16" s="2"/>
      <c r="AA16" s="2"/>
      <c r="AB16" s="2"/>
      <c r="AC16" s="2"/>
      <c r="AD16" s="2"/>
    </row>
    <row r="17">
      <c r="A17" s="13"/>
      <c r="B17" s="37">
        <v>13.0</v>
      </c>
      <c r="C17" s="11" t="s">
        <v>99</v>
      </c>
      <c r="D17" s="11" t="s">
        <v>28</v>
      </c>
      <c r="E17" s="11" t="s">
        <v>100</v>
      </c>
      <c r="F17" s="29"/>
      <c r="G17" s="29"/>
      <c r="H17" s="11" t="s">
        <v>101</v>
      </c>
      <c r="I17" s="11" t="s">
        <v>102</v>
      </c>
      <c r="J17" s="12" t="s">
        <v>103</v>
      </c>
      <c r="K17" s="12"/>
      <c r="L17" s="11" t="s">
        <v>104</v>
      </c>
      <c r="M17" s="12" t="s">
        <v>105</v>
      </c>
      <c r="N17" s="2"/>
      <c r="O17" s="2"/>
      <c r="P17" s="2"/>
      <c r="Q17" s="2"/>
      <c r="R17" s="2"/>
      <c r="S17" s="2"/>
      <c r="T17" s="2"/>
      <c r="U17" s="2"/>
      <c r="V17" s="2"/>
      <c r="W17" s="2"/>
      <c r="X17" s="2"/>
      <c r="Y17" s="2"/>
      <c r="Z17" s="2"/>
      <c r="AA17" s="2"/>
      <c r="AB17" s="2"/>
      <c r="AC17" s="2"/>
      <c r="AD17" s="2"/>
    </row>
    <row r="18">
      <c r="A18" s="13"/>
      <c r="B18" s="38">
        <v>14.0</v>
      </c>
      <c r="C18" s="39" t="s">
        <v>106</v>
      </c>
      <c r="D18" s="11" t="s">
        <v>107</v>
      </c>
      <c r="E18" s="11" t="s">
        <v>108</v>
      </c>
      <c r="F18" s="11" t="s">
        <v>109</v>
      </c>
      <c r="G18" s="11" t="s">
        <v>110</v>
      </c>
      <c r="H18" s="11" t="s">
        <v>111</v>
      </c>
      <c r="I18" s="11"/>
      <c r="J18" s="11" t="s">
        <v>112</v>
      </c>
      <c r="K18" s="11" t="s">
        <v>113</v>
      </c>
      <c r="L18" s="12" t="s">
        <v>114</v>
      </c>
      <c r="M18" s="12" t="s">
        <v>115</v>
      </c>
      <c r="N18" s="2"/>
      <c r="O18" s="2"/>
      <c r="P18" s="2"/>
      <c r="Q18" s="2"/>
      <c r="R18" s="2"/>
      <c r="S18" s="2"/>
      <c r="T18" s="2"/>
      <c r="U18" s="2"/>
      <c r="V18" s="2"/>
      <c r="W18" s="2"/>
      <c r="X18" s="2"/>
      <c r="Y18" s="2"/>
      <c r="Z18" s="2"/>
      <c r="AA18" s="2"/>
      <c r="AB18" s="2"/>
      <c r="AC18" s="2"/>
      <c r="AD18" s="2"/>
    </row>
    <row r="19">
      <c r="A19" s="13"/>
      <c r="B19" s="37">
        <v>15.0</v>
      </c>
      <c r="C19" s="11" t="s">
        <v>116</v>
      </c>
      <c r="D19" s="11" t="s">
        <v>17</v>
      </c>
      <c r="E19" s="11" t="s">
        <v>117</v>
      </c>
      <c r="F19" s="11" t="s">
        <v>118</v>
      </c>
      <c r="G19" s="11" t="s">
        <v>119</v>
      </c>
      <c r="H19" s="11" t="s">
        <v>120</v>
      </c>
      <c r="I19" s="11" t="s">
        <v>121</v>
      </c>
      <c r="J19" s="11" t="s">
        <v>122</v>
      </c>
      <c r="K19" s="11" t="s">
        <v>123</v>
      </c>
      <c r="L19" s="12" t="s">
        <v>124</v>
      </c>
      <c r="M19" s="12" t="s">
        <v>125</v>
      </c>
      <c r="N19" s="2"/>
      <c r="O19" s="2"/>
      <c r="P19" s="2"/>
      <c r="Q19" s="2"/>
      <c r="R19" s="2"/>
      <c r="S19" s="2"/>
      <c r="T19" s="2"/>
      <c r="U19" s="2"/>
      <c r="V19" s="2"/>
      <c r="W19" s="2"/>
      <c r="X19" s="2"/>
      <c r="Y19" s="2"/>
      <c r="Z19" s="2"/>
      <c r="AA19" s="2"/>
      <c r="AB19" s="2"/>
      <c r="AC19" s="2"/>
      <c r="AD19" s="2"/>
    </row>
    <row r="20">
      <c r="A20" s="13"/>
      <c r="B20" s="25">
        <v>16.0</v>
      </c>
      <c r="C20" s="25" t="s">
        <v>126</v>
      </c>
      <c r="D20" s="25" t="s">
        <v>17</v>
      </c>
      <c r="E20" s="25" t="s">
        <v>29</v>
      </c>
      <c r="F20" s="25" t="s">
        <v>127</v>
      </c>
      <c r="G20" s="25" t="s">
        <v>127</v>
      </c>
      <c r="H20" s="25" t="s">
        <v>128</v>
      </c>
      <c r="I20" s="26"/>
      <c r="J20" s="25" t="s">
        <v>129</v>
      </c>
      <c r="K20" s="25" t="s">
        <v>130</v>
      </c>
      <c r="L20" s="40" t="s">
        <v>131</v>
      </c>
      <c r="M20" s="27" t="s">
        <v>42</v>
      </c>
      <c r="N20" s="2"/>
      <c r="O20" s="2"/>
      <c r="P20" s="2"/>
      <c r="Q20" s="2"/>
      <c r="R20" s="2"/>
      <c r="S20" s="2"/>
      <c r="T20" s="2"/>
      <c r="U20" s="2"/>
      <c r="V20" s="2"/>
      <c r="W20" s="2"/>
      <c r="X20" s="2"/>
      <c r="Y20" s="2"/>
      <c r="Z20" s="2"/>
      <c r="AA20" s="2"/>
      <c r="AB20" s="2"/>
      <c r="AC20" s="2"/>
      <c r="AD20" s="2"/>
    </row>
    <row r="21">
      <c r="A21" s="13"/>
      <c r="B21" s="37">
        <v>17.0</v>
      </c>
      <c r="C21" s="11" t="s">
        <v>132</v>
      </c>
      <c r="D21" s="11" t="s">
        <v>17</v>
      </c>
      <c r="E21" s="11" t="s">
        <v>29</v>
      </c>
      <c r="F21" s="11" t="s">
        <v>133</v>
      </c>
      <c r="G21" s="11" t="s">
        <v>134</v>
      </c>
      <c r="H21" s="11" t="s">
        <v>135</v>
      </c>
      <c r="I21" s="11" t="s">
        <v>136</v>
      </c>
      <c r="J21" s="11" t="s">
        <v>137</v>
      </c>
      <c r="K21" s="11" t="s">
        <v>138</v>
      </c>
      <c r="L21" s="12" t="s">
        <v>139</v>
      </c>
      <c r="M21" s="12" t="s">
        <v>125</v>
      </c>
      <c r="N21" s="2"/>
      <c r="O21" s="2"/>
      <c r="P21" s="2"/>
      <c r="Q21" s="2"/>
      <c r="R21" s="2"/>
      <c r="S21" s="2"/>
      <c r="T21" s="2"/>
      <c r="U21" s="2"/>
      <c r="V21" s="2"/>
      <c r="W21" s="2"/>
      <c r="X21" s="2"/>
      <c r="Y21" s="2"/>
      <c r="Z21" s="2"/>
      <c r="AA21" s="2"/>
      <c r="AB21" s="2"/>
      <c r="AC21" s="2"/>
      <c r="AD21" s="2"/>
    </row>
    <row r="22">
      <c r="A22" s="13"/>
      <c r="B22" s="37">
        <v>18.0</v>
      </c>
      <c r="C22" s="11" t="s">
        <v>140</v>
      </c>
      <c r="D22" s="11" t="s">
        <v>107</v>
      </c>
      <c r="E22" s="11" t="s">
        <v>29</v>
      </c>
      <c r="F22" s="29"/>
      <c r="G22" s="11" t="s">
        <v>134</v>
      </c>
      <c r="H22" s="29"/>
      <c r="I22" s="29"/>
      <c r="J22" s="11" t="s">
        <v>52</v>
      </c>
      <c r="K22" s="11" t="s">
        <v>141</v>
      </c>
      <c r="L22" s="12" t="s">
        <v>142</v>
      </c>
      <c r="M22" s="35"/>
      <c r="N22" s="2"/>
      <c r="O22" s="2"/>
      <c r="P22" s="2"/>
      <c r="Q22" s="2"/>
      <c r="R22" s="2"/>
      <c r="S22" s="2"/>
      <c r="T22" s="2"/>
      <c r="U22" s="2"/>
      <c r="V22" s="2"/>
      <c r="W22" s="2"/>
      <c r="X22" s="2"/>
      <c r="Y22" s="2"/>
      <c r="Z22" s="2"/>
      <c r="AA22" s="2"/>
      <c r="AB22" s="2"/>
      <c r="AC22" s="2"/>
      <c r="AD22" s="2"/>
    </row>
    <row r="23">
      <c r="A23" s="13"/>
      <c r="B23" s="37">
        <v>19.0</v>
      </c>
      <c r="C23" s="11" t="s">
        <v>143</v>
      </c>
      <c r="D23" s="11" t="s">
        <v>28</v>
      </c>
      <c r="E23" s="11" t="s">
        <v>144</v>
      </c>
      <c r="F23" s="29"/>
      <c r="G23" s="11" t="s">
        <v>145</v>
      </c>
      <c r="H23" s="11"/>
      <c r="I23" s="29"/>
      <c r="J23" s="11"/>
      <c r="K23" s="29"/>
      <c r="L23" s="35"/>
      <c r="M23" s="12"/>
      <c r="N23" s="2"/>
      <c r="O23" s="2"/>
      <c r="P23" s="2"/>
      <c r="Q23" s="2"/>
      <c r="R23" s="2"/>
      <c r="S23" s="2"/>
      <c r="T23" s="2"/>
      <c r="U23" s="2"/>
      <c r="V23" s="2"/>
      <c r="W23" s="2"/>
      <c r="X23" s="2"/>
      <c r="Y23" s="2"/>
      <c r="Z23" s="2"/>
      <c r="AA23" s="2"/>
      <c r="AB23" s="2"/>
      <c r="AC23" s="2"/>
      <c r="AD23" s="2"/>
    </row>
    <row r="24">
      <c r="A24" s="34"/>
      <c r="B24" s="37">
        <v>20.0</v>
      </c>
      <c r="C24" s="11" t="s">
        <v>146</v>
      </c>
      <c r="D24" s="11" t="s">
        <v>17</v>
      </c>
      <c r="E24" s="11"/>
      <c r="F24" s="11"/>
      <c r="G24" s="11" t="s">
        <v>147</v>
      </c>
      <c r="H24" s="11"/>
      <c r="I24" s="11"/>
      <c r="J24" s="11"/>
      <c r="K24" s="11"/>
      <c r="L24" s="12"/>
      <c r="M24" s="12"/>
      <c r="N24" s="2"/>
      <c r="O24" s="2"/>
      <c r="P24" s="2"/>
      <c r="Q24" s="2"/>
      <c r="R24" s="2"/>
      <c r="S24" s="2"/>
      <c r="T24" s="2"/>
      <c r="U24" s="2"/>
      <c r="V24" s="2"/>
      <c r="W24" s="2"/>
      <c r="X24" s="2"/>
      <c r="Y24" s="2"/>
      <c r="Z24" s="2"/>
      <c r="AA24" s="2"/>
      <c r="AB24" s="2"/>
      <c r="AC24" s="2"/>
      <c r="AD24" s="2"/>
    </row>
    <row r="25">
      <c r="A25" s="41" t="s">
        <v>148</v>
      </c>
      <c r="B25" s="42">
        <v>21.0</v>
      </c>
      <c r="C25" s="11" t="s">
        <v>149</v>
      </c>
      <c r="D25" s="11" t="s">
        <v>17</v>
      </c>
      <c r="E25" s="11"/>
      <c r="F25" s="29"/>
      <c r="G25" s="29"/>
      <c r="H25" s="11" t="s">
        <v>150</v>
      </c>
      <c r="I25" s="11" t="s">
        <v>151</v>
      </c>
      <c r="J25" s="11" t="s">
        <v>152</v>
      </c>
      <c r="K25" s="11"/>
      <c r="L25" s="35"/>
      <c r="M25" s="12" t="s">
        <v>153</v>
      </c>
      <c r="N25" s="2"/>
      <c r="O25" s="2"/>
      <c r="P25" s="2"/>
      <c r="Q25" s="2"/>
      <c r="R25" s="2"/>
      <c r="S25" s="2"/>
      <c r="T25" s="2"/>
      <c r="U25" s="2"/>
      <c r="V25" s="2"/>
      <c r="W25" s="2"/>
      <c r="X25" s="2"/>
      <c r="Y25" s="2"/>
      <c r="Z25" s="2"/>
      <c r="AA25" s="2"/>
      <c r="AB25" s="2"/>
      <c r="AC25" s="2"/>
      <c r="AD25" s="2"/>
    </row>
    <row r="26">
      <c r="A26" s="13"/>
      <c r="B26" s="43">
        <v>22.0</v>
      </c>
      <c r="C26" s="11" t="s">
        <v>154</v>
      </c>
      <c r="D26" s="11" t="s">
        <v>28</v>
      </c>
      <c r="E26" s="11" t="s">
        <v>155</v>
      </c>
      <c r="F26" s="16"/>
      <c r="G26" s="16"/>
      <c r="H26" s="17" t="s">
        <v>156</v>
      </c>
      <c r="I26" s="17"/>
      <c r="J26" s="17" t="s">
        <v>157</v>
      </c>
      <c r="K26" s="17" t="s">
        <v>158</v>
      </c>
      <c r="L26" s="18" t="s">
        <v>159</v>
      </c>
      <c r="M26" s="18" t="s">
        <v>160</v>
      </c>
      <c r="N26" s="2"/>
      <c r="O26" s="2"/>
      <c r="P26" s="2"/>
      <c r="Q26" s="2"/>
      <c r="R26" s="2"/>
      <c r="S26" s="2"/>
      <c r="T26" s="2"/>
      <c r="U26" s="2"/>
      <c r="V26" s="2"/>
      <c r="W26" s="2"/>
      <c r="X26" s="2"/>
      <c r="Y26" s="2"/>
      <c r="Z26" s="2"/>
      <c r="AA26" s="2"/>
      <c r="AB26" s="2"/>
      <c r="AC26" s="2"/>
      <c r="AD26" s="2"/>
    </row>
    <row r="27">
      <c r="A27" s="13"/>
      <c r="B27" s="43">
        <v>23.0</v>
      </c>
      <c r="C27" s="12" t="s">
        <v>161</v>
      </c>
      <c r="D27" s="12" t="s">
        <v>107</v>
      </c>
      <c r="E27" s="12" t="s">
        <v>162</v>
      </c>
      <c r="F27" s="35"/>
      <c r="G27" s="35"/>
      <c r="H27" s="12" t="s">
        <v>163</v>
      </c>
      <c r="I27" s="35"/>
      <c r="J27" s="12" t="s">
        <v>164</v>
      </c>
      <c r="K27" s="35"/>
      <c r="L27" s="12"/>
      <c r="M27" s="12" t="s">
        <v>70</v>
      </c>
      <c r="N27" s="2"/>
      <c r="O27" s="2"/>
      <c r="P27" s="2"/>
      <c r="Q27" s="2"/>
      <c r="R27" s="2"/>
      <c r="S27" s="2"/>
      <c r="T27" s="2"/>
      <c r="U27" s="2"/>
      <c r="V27" s="2"/>
      <c r="W27" s="2"/>
      <c r="X27" s="2"/>
      <c r="Y27" s="2"/>
      <c r="Z27" s="2"/>
      <c r="AA27" s="2"/>
      <c r="AB27" s="2"/>
      <c r="AC27" s="2"/>
      <c r="AD27" s="2"/>
    </row>
    <row r="28">
      <c r="A28" s="13"/>
      <c r="B28" s="27">
        <v>24.0</v>
      </c>
      <c r="C28" s="27" t="s">
        <v>165</v>
      </c>
      <c r="D28" s="27" t="s">
        <v>17</v>
      </c>
      <c r="E28" s="27" t="s">
        <v>166</v>
      </c>
      <c r="F28" s="27" t="s">
        <v>167</v>
      </c>
      <c r="G28" s="27" t="s">
        <v>168</v>
      </c>
      <c r="H28" s="27" t="s">
        <v>169</v>
      </c>
      <c r="I28" s="40" t="s">
        <v>170</v>
      </c>
      <c r="J28" s="27" t="s">
        <v>171</v>
      </c>
      <c r="K28" s="33"/>
      <c r="L28" s="27"/>
      <c r="M28" s="27" t="s">
        <v>125</v>
      </c>
      <c r="N28" s="2"/>
      <c r="O28" s="2"/>
      <c r="P28" s="2"/>
      <c r="Q28" s="2"/>
      <c r="R28" s="2"/>
      <c r="S28" s="2"/>
      <c r="T28" s="2"/>
      <c r="U28" s="2"/>
      <c r="V28" s="2"/>
      <c r="W28" s="2"/>
      <c r="X28" s="2"/>
      <c r="Y28" s="2"/>
      <c r="Z28" s="2"/>
      <c r="AA28" s="2"/>
      <c r="AB28" s="2"/>
      <c r="AC28" s="2"/>
      <c r="AD28" s="2"/>
    </row>
    <row r="29">
      <c r="A29" s="13"/>
      <c r="B29" s="43">
        <v>25.0</v>
      </c>
      <c r="C29" s="44" t="s">
        <v>172</v>
      </c>
      <c r="D29" s="12" t="s">
        <v>17</v>
      </c>
      <c r="E29" s="12" t="s">
        <v>173</v>
      </c>
      <c r="F29" s="35"/>
      <c r="G29" s="35"/>
      <c r="H29" s="12"/>
      <c r="I29" s="12"/>
      <c r="J29" s="12"/>
      <c r="K29" s="35"/>
      <c r="L29" s="35"/>
      <c r="M29" s="12" t="s">
        <v>174</v>
      </c>
      <c r="N29" s="2"/>
      <c r="O29" s="2"/>
      <c r="P29" s="2"/>
      <c r="Q29" s="2"/>
      <c r="R29" s="2"/>
      <c r="S29" s="2"/>
      <c r="T29" s="2"/>
      <c r="U29" s="2"/>
      <c r="V29" s="2"/>
      <c r="W29" s="2"/>
      <c r="X29" s="2"/>
      <c r="Y29" s="2"/>
      <c r="Z29" s="2"/>
      <c r="AA29" s="2"/>
      <c r="AB29" s="2"/>
      <c r="AC29" s="2"/>
      <c r="AD29" s="2"/>
    </row>
    <row r="30">
      <c r="A30" s="13"/>
      <c r="B30" s="43">
        <v>26.0</v>
      </c>
      <c r="C30" s="45" t="s">
        <v>175</v>
      </c>
      <c r="D30" s="12" t="s">
        <v>17</v>
      </c>
      <c r="E30" s="12" t="s">
        <v>176</v>
      </c>
      <c r="F30" s="46"/>
      <c r="G30" s="46"/>
      <c r="H30" s="45"/>
      <c r="I30" s="45"/>
      <c r="J30" s="45"/>
      <c r="K30" s="46"/>
      <c r="L30" s="46"/>
      <c r="M30" s="12" t="s">
        <v>174</v>
      </c>
      <c r="N30" s="2"/>
      <c r="O30" s="2"/>
      <c r="P30" s="2"/>
      <c r="Q30" s="2"/>
      <c r="R30" s="2"/>
      <c r="S30" s="2"/>
      <c r="T30" s="2"/>
      <c r="U30" s="2"/>
      <c r="V30" s="2"/>
      <c r="W30" s="2"/>
      <c r="X30" s="2"/>
      <c r="Y30" s="2"/>
      <c r="Z30" s="2"/>
      <c r="AA30" s="2"/>
      <c r="AB30" s="2"/>
      <c r="AC30" s="2"/>
      <c r="AD30" s="2"/>
    </row>
    <row r="31">
      <c r="A31" s="13"/>
      <c r="B31" s="43">
        <v>27.0</v>
      </c>
      <c r="C31" s="12" t="s">
        <v>177</v>
      </c>
      <c r="D31" s="12" t="s">
        <v>17</v>
      </c>
      <c r="E31" s="12" t="s">
        <v>178</v>
      </c>
      <c r="F31" s="12" t="s">
        <v>179</v>
      </c>
      <c r="G31" s="12" t="s">
        <v>180</v>
      </c>
      <c r="H31" s="12" t="s">
        <v>181</v>
      </c>
      <c r="I31" s="12" t="s">
        <v>182</v>
      </c>
      <c r="J31" s="12" t="s">
        <v>183</v>
      </c>
      <c r="K31" s="35"/>
      <c r="L31" s="35"/>
      <c r="M31" s="12" t="s">
        <v>125</v>
      </c>
      <c r="N31" s="2"/>
      <c r="O31" s="2"/>
      <c r="P31" s="2"/>
      <c r="Q31" s="2"/>
      <c r="R31" s="2"/>
      <c r="S31" s="2"/>
      <c r="T31" s="2"/>
      <c r="U31" s="2"/>
      <c r="V31" s="2"/>
      <c r="W31" s="2"/>
      <c r="X31" s="2"/>
      <c r="Y31" s="2"/>
      <c r="Z31" s="2"/>
      <c r="AA31" s="2"/>
      <c r="AB31" s="2"/>
      <c r="AC31" s="2"/>
      <c r="AD31" s="2"/>
    </row>
    <row r="32">
      <c r="A32" s="13"/>
      <c r="B32" s="43">
        <v>28.0</v>
      </c>
      <c r="C32" s="47"/>
      <c r="D32" s="12"/>
      <c r="E32" s="12"/>
      <c r="F32" s="35"/>
      <c r="G32" s="35"/>
      <c r="H32" s="12"/>
      <c r="I32" s="12"/>
      <c r="J32" s="12"/>
      <c r="K32" s="35"/>
      <c r="L32" s="35"/>
      <c r="M32" s="12"/>
      <c r="N32" s="2"/>
      <c r="O32" s="2"/>
      <c r="P32" s="2"/>
      <c r="Q32" s="2"/>
      <c r="R32" s="2"/>
      <c r="S32" s="2"/>
      <c r="T32" s="2"/>
      <c r="U32" s="2"/>
      <c r="V32" s="2"/>
      <c r="W32" s="2"/>
      <c r="X32" s="2"/>
      <c r="Y32" s="2"/>
      <c r="Z32" s="2"/>
      <c r="AA32" s="2"/>
      <c r="AB32" s="2"/>
      <c r="AC32" s="2"/>
      <c r="AD32" s="2"/>
    </row>
    <row r="33">
      <c r="A33" s="13"/>
      <c r="B33" s="43">
        <v>29.0</v>
      </c>
      <c r="C33" s="48"/>
      <c r="D33" s="45"/>
      <c r="E33" s="12"/>
      <c r="F33" s="46"/>
      <c r="G33" s="46"/>
      <c r="H33" s="45"/>
      <c r="I33" s="45"/>
      <c r="J33" s="45"/>
      <c r="K33" s="46"/>
      <c r="L33" s="46"/>
      <c r="M33" s="12"/>
      <c r="N33" s="2"/>
      <c r="O33" s="2"/>
      <c r="P33" s="2"/>
      <c r="Q33" s="2"/>
      <c r="R33" s="2"/>
      <c r="S33" s="2"/>
      <c r="T33" s="2"/>
      <c r="U33" s="2"/>
      <c r="V33" s="2"/>
      <c r="W33" s="2"/>
      <c r="X33" s="2"/>
      <c r="Y33" s="2"/>
      <c r="Z33" s="2"/>
      <c r="AA33" s="2"/>
      <c r="AB33" s="2"/>
      <c r="AC33" s="2"/>
      <c r="AD33" s="2"/>
    </row>
    <row r="34">
      <c r="A34" s="34"/>
      <c r="B34" s="43">
        <v>30.0</v>
      </c>
      <c r="C34" s="48"/>
      <c r="D34" s="12"/>
      <c r="E34" s="12"/>
      <c r="F34" s="12"/>
      <c r="G34" s="12"/>
      <c r="H34" s="12"/>
      <c r="I34" s="12"/>
      <c r="J34" s="12"/>
      <c r="K34" s="12"/>
      <c r="L34" s="12"/>
      <c r="M34" s="12"/>
      <c r="N34" s="2"/>
      <c r="O34" s="2"/>
      <c r="P34" s="2"/>
      <c r="Q34" s="2"/>
      <c r="R34" s="2"/>
      <c r="S34" s="2"/>
      <c r="T34" s="2"/>
      <c r="U34" s="2"/>
      <c r="V34" s="2"/>
      <c r="W34" s="2"/>
      <c r="X34" s="2"/>
      <c r="Y34" s="2"/>
      <c r="Z34" s="2"/>
      <c r="AA34" s="2"/>
      <c r="AB34" s="2"/>
      <c r="AC34" s="2"/>
      <c r="AD34" s="2"/>
    </row>
    <row r="35">
      <c r="A35" s="49" t="s">
        <v>184</v>
      </c>
      <c r="B35" s="50">
        <v>1.0</v>
      </c>
      <c r="C35" s="50" t="s">
        <v>185</v>
      </c>
      <c r="D35" s="50" t="s">
        <v>186</v>
      </c>
      <c r="E35" s="50" t="s">
        <v>187</v>
      </c>
      <c r="F35" s="51"/>
      <c r="G35" s="51"/>
      <c r="H35" s="50" t="s">
        <v>188</v>
      </c>
      <c r="I35" s="51"/>
      <c r="J35" s="50" t="s">
        <v>189</v>
      </c>
      <c r="K35" s="51"/>
      <c r="L35" s="52" t="s">
        <v>190</v>
      </c>
      <c r="M35" s="52" t="s">
        <v>191</v>
      </c>
      <c r="N35" s="2"/>
      <c r="O35" s="2"/>
      <c r="P35" s="2"/>
      <c r="Q35" s="2"/>
      <c r="R35" s="2"/>
      <c r="S35" s="2"/>
      <c r="T35" s="2"/>
      <c r="U35" s="2"/>
      <c r="V35" s="2"/>
      <c r="W35" s="2"/>
      <c r="X35" s="2"/>
      <c r="Y35" s="2"/>
      <c r="Z35" s="2"/>
      <c r="AA35" s="2"/>
      <c r="AB35" s="2"/>
      <c r="AC35" s="2"/>
      <c r="AD35" s="2"/>
    </row>
    <row r="36">
      <c r="A36" s="13"/>
      <c r="B36" s="53">
        <v>2.0</v>
      </c>
      <c r="C36" s="53" t="s">
        <v>192</v>
      </c>
      <c r="D36" s="50" t="s">
        <v>186</v>
      </c>
      <c r="E36" s="53" t="s">
        <v>193</v>
      </c>
      <c r="F36" s="53" t="s">
        <v>194</v>
      </c>
      <c r="G36" s="53" t="s">
        <v>195</v>
      </c>
      <c r="H36" s="53" t="s">
        <v>196</v>
      </c>
      <c r="I36" s="53" t="s">
        <v>197</v>
      </c>
      <c r="J36" s="53" t="s">
        <v>198</v>
      </c>
      <c r="K36" s="53" t="s">
        <v>199</v>
      </c>
      <c r="L36" s="53" t="s">
        <v>200</v>
      </c>
      <c r="M36" s="53" t="s">
        <v>201</v>
      </c>
      <c r="N36" s="2"/>
      <c r="O36" s="2"/>
      <c r="P36" s="2"/>
      <c r="Q36" s="2"/>
      <c r="R36" s="2"/>
      <c r="S36" s="2"/>
      <c r="T36" s="2"/>
      <c r="U36" s="2"/>
      <c r="V36" s="2"/>
      <c r="W36" s="2"/>
      <c r="X36" s="2"/>
      <c r="Y36" s="2"/>
      <c r="Z36" s="2"/>
      <c r="AA36" s="2"/>
      <c r="AB36" s="2"/>
      <c r="AC36" s="2"/>
      <c r="AD36" s="2"/>
    </row>
    <row r="37">
      <c r="A37" s="13"/>
      <c r="B37" s="52">
        <v>3.0</v>
      </c>
      <c r="C37" s="50" t="s">
        <v>202</v>
      </c>
      <c r="D37" s="50" t="s">
        <v>64</v>
      </c>
      <c r="E37" s="50" t="s">
        <v>203</v>
      </c>
      <c r="F37" s="50" t="s">
        <v>204</v>
      </c>
      <c r="G37" s="50" t="s">
        <v>205</v>
      </c>
      <c r="H37" s="50" t="s">
        <v>206</v>
      </c>
      <c r="I37" s="51"/>
      <c r="J37" s="50" t="s">
        <v>207</v>
      </c>
      <c r="K37" s="50" t="s">
        <v>208</v>
      </c>
      <c r="L37" s="52" t="s">
        <v>209</v>
      </c>
      <c r="M37" s="52" t="s">
        <v>210</v>
      </c>
      <c r="N37" s="2"/>
      <c r="O37" s="2"/>
      <c r="P37" s="2"/>
      <c r="Q37" s="2"/>
      <c r="R37" s="2"/>
      <c r="S37" s="2"/>
      <c r="T37" s="2"/>
      <c r="U37" s="2"/>
      <c r="V37" s="2"/>
      <c r="W37" s="2"/>
      <c r="X37" s="2"/>
      <c r="Y37" s="2"/>
      <c r="Z37" s="2"/>
      <c r="AA37" s="2"/>
      <c r="AB37" s="2"/>
      <c r="AC37" s="2"/>
      <c r="AD37" s="2"/>
    </row>
    <row r="38">
      <c r="A38" s="13"/>
      <c r="B38" s="52">
        <v>4.0</v>
      </c>
      <c r="C38" s="50" t="s">
        <v>211</v>
      </c>
      <c r="D38" s="50" t="s">
        <v>186</v>
      </c>
      <c r="E38" s="50" t="s">
        <v>212</v>
      </c>
      <c r="F38" s="50"/>
      <c r="G38" s="50" t="s">
        <v>213</v>
      </c>
      <c r="H38" s="50" t="s">
        <v>214</v>
      </c>
      <c r="I38" s="50" t="s">
        <v>215</v>
      </c>
      <c r="J38" s="50" t="s">
        <v>216</v>
      </c>
      <c r="K38" s="50" t="s">
        <v>217</v>
      </c>
      <c r="L38" s="52" t="s">
        <v>218</v>
      </c>
      <c r="M38" s="52" t="s">
        <v>219</v>
      </c>
      <c r="N38" s="2"/>
      <c r="O38" s="2"/>
      <c r="P38" s="2"/>
      <c r="Q38" s="2"/>
      <c r="R38" s="2"/>
      <c r="S38" s="2"/>
      <c r="T38" s="2"/>
      <c r="U38" s="2"/>
      <c r="V38" s="2"/>
      <c r="W38" s="2"/>
      <c r="X38" s="2"/>
      <c r="Y38" s="2"/>
      <c r="Z38" s="2"/>
      <c r="AA38" s="2"/>
      <c r="AB38" s="2"/>
      <c r="AC38" s="2"/>
      <c r="AD38" s="2"/>
    </row>
    <row r="39">
      <c r="A39" s="13"/>
      <c r="B39" s="52">
        <v>5.0</v>
      </c>
      <c r="C39" s="52" t="s">
        <v>220</v>
      </c>
      <c r="D39" s="52" t="s">
        <v>17</v>
      </c>
      <c r="E39" s="52" t="s">
        <v>221</v>
      </c>
      <c r="F39" s="54"/>
      <c r="G39" s="54"/>
      <c r="H39" s="52" t="s">
        <v>222</v>
      </c>
      <c r="I39" s="52" t="s">
        <v>223</v>
      </c>
      <c r="J39" s="52" t="s">
        <v>224</v>
      </c>
      <c r="K39" s="52" t="s">
        <v>225</v>
      </c>
      <c r="L39" s="52" t="s">
        <v>226</v>
      </c>
      <c r="M39" s="52" t="s">
        <v>125</v>
      </c>
      <c r="N39" s="2"/>
      <c r="O39" s="2"/>
      <c r="P39" s="2"/>
      <c r="Q39" s="2"/>
      <c r="R39" s="2"/>
      <c r="S39" s="2"/>
      <c r="T39" s="2"/>
      <c r="U39" s="2"/>
      <c r="V39" s="2"/>
      <c r="W39" s="2"/>
      <c r="X39" s="2"/>
      <c r="Y39" s="2"/>
      <c r="Z39" s="2"/>
      <c r="AA39" s="2"/>
      <c r="AB39" s="2"/>
      <c r="AC39" s="2"/>
      <c r="AD39" s="2"/>
    </row>
    <row r="40">
      <c r="A40" s="13"/>
      <c r="B40" s="52">
        <v>6.0</v>
      </c>
      <c r="C40" s="52" t="s">
        <v>227</v>
      </c>
      <c r="D40" s="52" t="s">
        <v>17</v>
      </c>
      <c r="E40" s="52" t="s">
        <v>228</v>
      </c>
      <c r="F40" s="54"/>
      <c r="G40" s="54"/>
      <c r="H40" s="52" t="s">
        <v>229</v>
      </c>
      <c r="I40" s="52" t="s">
        <v>230</v>
      </c>
      <c r="J40" s="52" t="s">
        <v>231</v>
      </c>
      <c r="K40" s="52"/>
      <c r="L40" s="52"/>
      <c r="M40" s="52" t="s">
        <v>232</v>
      </c>
      <c r="N40" s="2"/>
      <c r="O40" s="2"/>
      <c r="P40" s="2"/>
      <c r="Q40" s="2"/>
      <c r="R40" s="2"/>
      <c r="S40" s="2"/>
      <c r="T40" s="2"/>
      <c r="U40" s="2"/>
      <c r="V40" s="2"/>
      <c r="W40" s="2"/>
      <c r="X40" s="2"/>
      <c r="Y40" s="2"/>
      <c r="Z40" s="2"/>
      <c r="AA40" s="2"/>
      <c r="AB40" s="2"/>
      <c r="AC40" s="2"/>
      <c r="AD40" s="2"/>
    </row>
    <row r="41">
      <c r="A41" s="13"/>
      <c r="B41" s="52">
        <v>7.0</v>
      </c>
      <c r="C41" s="52" t="s">
        <v>233</v>
      </c>
      <c r="D41" s="52" t="s">
        <v>17</v>
      </c>
      <c r="E41" s="52" t="s">
        <v>166</v>
      </c>
      <c r="F41" s="52" t="s">
        <v>234</v>
      </c>
      <c r="G41" s="52" t="s">
        <v>235</v>
      </c>
      <c r="H41" s="52" t="s">
        <v>236</v>
      </c>
      <c r="I41" s="52" t="s">
        <v>237</v>
      </c>
      <c r="J41" s="52" t="s">
        <v>238</v>
      </c>
      <c r="K41" s="54"/>
      <c r="L41" s="52" t="s">
        <v>239</v>
      </c>
      <c r="M41" s="52" t="s">
        <v>125</v>
      </c>
      <c r="N41" s="2"/>
      <c r="O41" s="2"/>
      <c r="P41" s="2"/>
      <c r="Q41" s="2"/>
      <c r="R41" s="2"/>
      <c r="S41" s="2"/>
      <c r="T41" s="2"/>
      <c r="U41" s="2"/>
      <c r="V41" s="2"/>
      <c r="W41" s="2"/>
      <c r="X41" s="2"/>
      <c r="Y41" s="2"/>
      <c r="Z41" s="2"/>
      <c r="AA41" s="2"/>
      <c r="AB41" s="2"/>
      <c r="AC41" s="2"/>
      <c r="AD41" s="2"/>
    </row>
    <row r="42">
      <c r="A42" s="13"/>
      <c r="B42" s="52">
        <v>8.0</v>
      </c>
      <c r="C42" s="52" t="s">
        <v>240</v>
      </c>
      <c r="D42" s="52" t="s">
        <v>17</v>
      </c>
      <c r="E42" s="52" t="s">
        <v>241</v>
      </c>
      <c r="F42" s="52" t="s">
        <v>242</v>
      </c>
      <c r="G42" s="52" t="s">
        <v>243</v>
      </c>
      <c r="H42" s="52" t="s">
        <v>244</v>
      </c>
      <c r="I42" s="52" t="s">
        <v>245</v>
      </c>
      <c r="J42" s="52" t="s">
        <v>246</v>
      </c>
      <c r="K42" s="52" t="s">
        <v>247</v>
      </c>
      <c r="L42" s="52" t="s">
        <v>248</v>
      </c>
      <c r="M42" s="52" t="s">
        <v>125</v>
      </c>
      <c r="N42" s="2"/>
      <c r="O42" s="2"/>
      <c r="P42" s="2"/>
      <c r="Q42" s="2"/>
      <c r="R42" s="2"/>
      <c r="S42" s="2"/>
      <c r="T42" s="2"/>
      <c r="U42" s="2"/>
      <c r="V42" s="2"/>
      <c r="W42" s="2"/>
      <c r="X42" s="2"/>
      <c r="Y42" s="2"/>
      <c r="Z42" s="2"/>
      <c r="AA42" s="2"/>
      <c r="AB42" s="2"/>
      <c r="AC42" s="2"/>
      <c r="AD42" s="2"/>
    </row>
    <row r="43">
      <c r="A43" s="13"/>
      <c r="B43" s="52">
        <v>9.0</v>
      </c>
      <c r="C43" s="50" t="s">
        <v>249</v>
      </c>
      <c r="D43" s="50">
        <v>9.0</v>
      </c>
      <c r="E43" s="50" t="s">
        <v>250</v>
      </c>
      <c r="F43" s="50" t="s">
        <v>186</v>
      </c>
      <c r="G43" s="50" t="s">
        <v>251</v>
      </c>
      <c r="H43" s="50" t="s">
        <v>252</v>
      </c>
      <c r="I43" s="50"/>
      <c r="J43" s="50" t="s">
        <v>253</v>
      </c>
      <c r="K43" s="50" t="s">
        <v>254</v>
      </c>
      <c r="L43" s="50" t="s">
        <v>255</v>
      </c>
      <c r="M43" s="50" t="s">
        <v>256</v>
      </c>
      <c r="N43" s="55" t="s">
        <v>257</v>
      </c>
      <c r="O43" s="56"/>
      <c r="P43" s="2"/>
      <c r="Q43" s="2"/>
      <c r="R43" s="2"/>
      <c r="S43" s="2"/>
      <c r="T43" s="2"/>
      <c r="U43" s="2"/>
      <c r="V43" s="2"/>
      <c r="W43" s="2"/>
      <c r="X43" s="2"/>
      <c r="Y43" s="2"/>
      <c r="Z43" s="2"/>
      <c r="AA43" s="2"/>
      <c r="AB43" s="2"/>
      <c r="AC43" s="2"/>
      <c r="AD43" s="2"/>
    </row>
    <row r="44">
      <c r="A44" s="13"/>
      <c r="B44" s="57">
        <v>10.0</v>
      </c>
      <c r="C44" s="58" t="s">
        <v>258</v>
      </c>
      <c r="D44" s="58" t="s">
        <v>259</v>
      </c>
      <c r="E44" s="58" t="s">
        <v>260</v>
      </c>
      <c r="F44" s="59"/>
      <c r="G44" s="59"/>
      <c r="H44" s="60" t="s">
        <v>261</v>
      </c>
      <c r="I44" s="59"/>
      <c r="J44" s="59"/>
      <c r="K44" s="60" t="s">
        <v>262</v>
      </c>
      <c r="L44" s="57" t="s">
        <v>263</v>
      </c>
      <c r="M44" s="61"/>
    </row>
    <row r="45">
      <c r="A45" s="13"/>
      <c r="B45" s="52">
        <v>11.0</v>
      </c>
      <c r="C45" s="52" t="s">
        <v>264</v>
      </c>
      <c r="D45" s="52" t="s">
        <v>186</v>
      </c>
      <c r="E45" s="50" t="s">
        <v>265</v>
      </c>
      <c r="F45" s="51"/>
      <c r="G45" s="51"/>
      <c r="H45" s="50" t="s">
        <v>266</v>
      </c>
      <c r="I45" s="51"/>
      <c r="J45" s="62" t="s">
        <v>267</v>
      </c>
      <c r="K45" s="51"/>
      <c r="L45" s="52" t="s">
        <v>268</v>
      </c>
      <c r="M45" s="52" t="s">
        <v>160</v>
      </c>
      <c r="N45" s="2"/>
      <c r="O45" s="2"/>
      <c r="P45" s="2"/>
      <c r="Q45" s="2"/>
      <c r="R45" s="2"/>
      <c r="S45" s="2"/>
      <c r="T45" s="2"/>
      <c r="U45" s="2"/>
      <c r="V45" s="2"/>
      <c r="W45" s="2"/>
      <c r="X45" s="2"/>
      <c r="Y45" s="2"/>
      <c r="Z45" s="2"/>
      <c r="AA45" s="2"/>
      <c r="AB45" s="2"/>
      <c r="AC45" s="2"/>
      <c r="AD45" s="2"/>
    </row>
    <row r="46">
      <c r="A46" s="13"/>
      <c r="B46" s="52">
        <v>12.0</v>
      </c>
      <c r="C46" s="50" t="s">
        <v>269</v>
      </c>
      <c r="D46" s="50" t="s">
        <v>186</v>
      </c>
      <c r="E46" s="50" t="s">
        <v>270</v>
      </c>
      <c r="F46" s="50" t="s">
        <v>271</v>
      </c>
      <c r="G46" s="50" t="s">
        <v>272</v>
      </c>
      <c r="H46" s="50" t="s">
        <v>273</v>
      </c>
      <c r="I46" s="50" t="s">
        <v>274</v>
      </c>
      <c r="J46" s="50" t="s">
        <v>275</v>
      </c>
      <c r="K46" s="50" t="s">
        <v>276</v>
      </c>
      <c r="L46" s="52" t="s">
        <v>277</v>
      </c>
      <c r="M46" s="52" t="s">
        <v>278</v>
      </c>
      <c r="N46" s="2"/>
      <c r="O46" s="2"/>
      <c r="P46" s="2"/>
      <c r="Q46" s="2"/>
      <c r="R46" s="2"/>
      <c r="S46" s="2"/>
      <c r="T46" s="2"/>
      <c r="U46" s="2"/>
      <c r="V46" s="2"/>
      <c r="W46" s="2"/>
      <c r="X46" s="2"/>
      <c r="Y46" s="2"/>
      <c r="Z46" s="2"/>
      <c r="AA46" s="2"/>
      <c r="AB46" s="2"/>
      <c r="AC46" s="2"/>
      <c r="AD46" s="2"/>
    </row>
    <row r="47">
      <c r="A47" s="13"/>
      <c r="B47" s="52">
        <v>13.0</v>
      </c>
      <c r="C47" s="50" t="s">
        <v>279</v>
      </c>
      <c r="D47" s="50" t="s">
        <v>64</v>
      </c>
      <c r="E47" s="50" t="s">
        <v>117</v>
      </c>
      <c r="F47" s="51"/>
      <c r="G47" s="51"/>
      <c r="H47" s="50" t="s">
        <v>280</v>
      </c>
      <c r="I47" s="50"/>
      <c r="J47" s="50" t="s">
        <v>281</v>
      </c>
      <c r="K47" s="50" t="s">
        <v>282</v>
      </c>
      <c r="L47" s="50" t="s">
        <v>283</v>
      </c>
      <c r="M47" s="50"/>
      <c r="N47" s="2"/>
      <c r="O47" s="2"/>
      <c r="P47" s="2"/>
      <c r="Q47" s="2"/>
      <c r="R47" s="2"/>
      <c r="S47" s="2"/>
      <c r="T47" s="2"/>
      <c r="U47" s="2"/>
      <c r="V47" s="2"/>
      <c r="W47" s="2"/>
      <c r="X47" s="2"/>
      <c r="Y47" s="2"/>
      <c r="Z47" s="2"/>
      <c r="AA47" s="2"/>
      <c r="AB47" s="2"/>
      <c r="AC47" s="2"/>
      <c r="AD47" s="2"/>
    </row>
    <row r="48">
      <c r="A48" s="13"/>
      <c r="B48" s="52">
        <v>14.0</v>
      </c>
      <c r="C48" s="50" t="s">
        <v>284</v>
      </c>
      <c r="D48" s="50" t="s">
        <v>107</v>
      </c>
      <c r="E48" s="50" t="s">
        <v>44</v>
      </c>
      <c r="F48" s="51"/>
      <c r="G48" s="51"/>
      <c r="H48" s="50" t="s">
        <v>285</v>
      </c>
      <c r="I48" s="51"/>
      <c r="J48" s="50" t="s">
        <v>286</v>
      </c>
      <c r="K48" s="50"/>
      <c r="L48" s="50"/>
      <c r="M48" s="50"/>
      <c r="N48" s="2"/>
      <c r="O48" s="2"/>
      <c r="P48" s="2"/>
      <c r="Q48" s="2"/>
      <c r="R48" s="2"/>
      <c r="S48" s="2"/>
      <c r="T48" s="2"/>
      <c r="U48" s="2"/>
      <c r="V48" s="2"/>
      <c r="W48" s="2"/>
      <c r="X48" s="2"/>
      <c r="Y48" s="2"/>
      <c r="Z48" s="2"/>
      <c r="AA48" s="2"/>
      <c r="AB48" s="2"/>
      <c r="AC48" s="2"/>
      <c r="AD48" s="2"/>
    </row>
    <row r="49">
      <c r="A49" s="13"/>
      <c r="B49" s="52">
        <v>15.0</v>
      </c>
      <c r="C49" s="52" t="s">
        <v>287</v>
      </c>
      <c r="D49" s="52" t="s">
        <v>107</v>
      </c>
      <c r="E49" s="52" t="s">
        <v>288</v>
      </c>
      <c r="F49" s="52"/>
      <c r="G49" s="52"/>
      <c r="H49" s="52" t="s">
        <v>289</v>
      </c>
      <c r="I49" s="52"/>
      <c r="J49" s="52" t="s">
        <v>290</v>
      </c>
      <c r="K49" s="52"/>
      <c r="L49" s="52" t="s">
        <v>291</v>
      </c>
      <c r="M49" s="52" t="s">
        <v>160</v>
      </c>
      <c r="N49" s="2"/>
      <c r="O49" s="2"/>
      <c r="P49" s="2"/>
      <c r="Q49" s="2"/>
      <c r="R49" s="2"/>
      <c r="S49" s="2"/>
      <c r="T49" s="2"/>
      <c r="U49" s="2"/>
      <c r="V49" s="2"/>
      <c r="W49" s="2"/>
      <c r="X49" s="2"/>
      <c r="Y49" s="2"/>
      <c r="Z49" s="2"/>
      <c r="AA49" s="2"/>
      <c r="AB49" s="2"/>
      <c r="AC49" s="2"/>
      <c r="AD49" s="2"/>
    </row>
    <row r="50">
      <c r="A50" s="13"/>
      <c r="B50" s="52">
        <v>16.0</v>
      </c>
      <c r="C50" s="52" t="s">
        <v>292</v>
      </c>
      <c r="D50" s="52" t="s">
        <v>17</v>
      </c>
      <c r="E50" s="52" t="s">
        <v>250</v>
      </c>
      <c r="F50" s="54"/>
      <c r="G50" s="54"/>
      <c r="H50" s="52" t="s">
        <v>293</v>
      </c>
      <c r="I50" s="52"/>
      <c r="J50" s="52" t="s">
        <v>294</v>
      </c>
      <c r="K50" s="54"/>
      <c r="L50" s="54"/>
      <c r="M50" s="52" t="s">
        <v>295</v>
      </c>
      <c r="N50" s="2"/>
      <c r="O50" s="2"/>
      <c r="P50" s="2"/>
      <c r="Q50" s="2"/>
      <c r="R50" s="2"/>
      <c r="S50" s="2"/>
      <c r="T50" s="2"/>
      <c r="U50" s="2"/>
      <c r="V50" s="2"/>
      <c r="W50" s="2"/>
      <c r="X50" s="2"/>
      <c r="Y50" s="2"/>
      <c r="Z50" s="2"/>
      <c r="AA50" s="2"/>
      <c r="AB50" s="2"/>
      <c r="AC50" s="2"/>
      <c r="AD50" s="2"/>
    </row>
    <row r="51">
      <c r="A51" s="13"/>
      <c r="B51" s="52">
        <v>17.0</v>
      </c>
      <c r="C51" s="52" t="s">
        <v>296</v>
      </c>
      <c r="D51" s="52" t="s">
        <v>186</v>
      </c>
      <c r="E51" s="52" t="s">
        <v>297</v>
      </c>
      <c r="F51" s="52" t="s">
        <v>298</v>
      </c>
      <c r="G51" s="52" t="s">
        <v>299</v>
      </c>
      <c r="H51" s="52" t="s">
        <v>300</v>
      </c>
      <c r="I51" s="52" t="s">
        <v>301</v>
      </c>
      <c r="J51" s="52" t="s">
        <v>302</v>
      </c>
      <c r="K51" s="52" t="s">
        <v>303</v>
      </c>
      <c r="L51" s="52" t="s">
        <v>304</v>
      </c>
      <c r="M51" s="52" t="s">
        <v>125</v>
      </c>
      <c r="N51" s="2"/>
      <c r="O51" s="2"/>
      <c r="P51" s="2"/>
      <c r="Q51" s="2"/>
      <c r="R51" s="2"/>
      <c r="S51" s="2"/>
      <c r="T51" s="2"/>
      <c r="U51" s="2"/>
      <c r="V51" s="2"/>
      <c r="W51" s="2"/>
      <c r="X51" s="2"/>
      <c r="Y51" s="2"/>
      <c r="Z51" s="2"/>
      <c r="AA51" s="2"/>
      <c r="AB51" s="2"/>
      <c r="AC51" s="2"/>
      <c r="AD51" s="2"/>
    </row>
    <row r="52">
      <c r="A52" s="13"/>
      <c r="B52" s="52">
        <v>18.0</v>
      </c>
      <c r="C52" s="52" t="s">
        <v>305</v>
      </c>
      <c r="D52" s="52" t="s">
        <v>107</v>
      </c>
      <c r="E52" s="52" t="s">
        <v>306</v>
      </c>
      <c r="F52" s="52" t="s">
        <v>307</v>
      </c>
      <c r="G52" s="54"/>
      <c r="H52" s="52" t="s">
        <v>308</v>
      </c>
      <c r="I52" s="52" t="s">
        <v>309</v>
      </c>
      <c r="J52" s="52" t="s">
        <v>310</v>
      </c>
      <c r="K52" s="52" t="s">
        <v>311</v>
      </c>
      <c r="L52" s="54"/>
      <c r="M52" s="52" t="s">
        <v>160</v>
      </c>
      <c r="N52" s="2"/>
      <c r="O52" s="2"/>
      <c r="P52" s="2"/>
      <c r="Q52" s="2"/>
      <c r="R52" s="2"/>
      <c r="S52" s="2"/>
      <c r="T52" s="2"/>
      <c r="U52" s="2"/>
      <c r="V52" s="2"/>
      <c r="W52" s="2"/>
      <c r="X52" s="2"/>
      <c r="Y52" s="2"/>
      <c r="Z52" s="2"/>
      <c r="AA52" s="2"/>
      <c r="AB52" s="2"/>
      <c r="AC52" s="2"/>
      <c r="AD52" s="2"/>
    </row>
    <row r="53">
      <c r="A53" s="13"/>
      <c r="B53" s="52">
        <v>19.0</v>
      </c>
      <c r="C53" s="52" t="s">
        <v>312</v>
      </c>
      <c r="D53" s="52" t="s">
        <v>186</v>
      </c>
      <c r="E53" s="52" t="s">
        <v>313</v>
      </c>
      <c r="F53" s="52"/>
      <c r="G53" s="52" t="s">
        <v>314</v>
      </c>
      <c r="H53" s="52" t="s">
        <v>315</v>
      </c>
      <c r="I53" s="52"/>
      <c r="J53" s="52" t="s">
        <v>316</v>
      </c>
      <c r="K53" s="54"/>
      <c r="L53" s="52" t="s">
        <v>317</v>
      </c>
      <c r="M53" s="52" t="s">
        <v>210</v>
      </c>
      <c r="N53" s="2"/>
      <c r="O53" s="2"/>
      <c r="P53" s="2"/>
      <c r="Q53" s="2"/>
      <c r="R53" s="2"/>
      <c r="S53" s="2"/>
      <c r="T53" s="2"/>
      <c r="U53" s="2"/>
      <c r="V53" s="2"/>
      <c r="W53" s="2"/>
      <c r="X53" s="2"/>
      <c r="Y53" s="2"/>
      <c r="Z53" s="2"/>
      <c r="AA53" s="2"/>
      <c r="AB53" s="2"/>
      <c r="AC53" s="2"/>
      <c r="AD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row>
  </sheetData>
  <autoFilter ref="$A$4:$AB$53"/>
  <mergeCells count="8">
    <mergeCell ref="A1:M1"/>
    <mergeCell ref="A2:M2"/>
    <mergeCell ref="A3:K3"/>
    <mergeCell ref="A5:A14"/>
    <mergeCell ref="A15:A24"/>
    <mergeCell ref="A25:A34"/>
    <mergeCell ref="A35:A53"/>
    <mergeCell ref="N43:O43"/>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7.13"/>
    <col customWidth="1" min="2" max="2" width="35.88"/>
    <col customWidth="1" min="3" max="3" width="24.0"/>
    <col customWidth="1" min="4" max="4" width="23.0"/>
    <col customWidth="1" min="5" max="5" width="18.13"/>
    <col customWidth="1" min="6" max="6" width="35.13"/>
    <col customWidth="1" min="7" max="7" width="34.5"/>
    <col customWidth="1" min="8" max="8" width="24.38"/>
    <col customWidth="1" min="9" max="9" width="26.25"/>
    <col customWidth="1" min="10" max="10" width="31.0"/>
    <col customWidth="1" min="11" max="11" width="15.88"/>
    <col customWidth="1" min="12" max="16" width="14.63"/>
  </cols>
  <sheetData>
    <row r="1">
      <c r="A1" s="63"/>
      <c r="B1" s="64" t="s">
        <v>318</v>
      </c>
      <c r="K1" s="65"/>
      <c r="L1" s="65"/>
      <c r="M1" s="65"/>
      <c r="N1" s="65"/>
      <c r="O1" s="65"/>
      <c r="P1" s="65"/>
      <c r="Q1" s="65"/>
      <c r="R1" s="65"/>
      <c r="S1" s="65"/>
      <c r="T1" s="65"/>
      <c r="U1" s="65"/>
      <c r="V1" s="65"/>
      <c r="W1" s="65"/>
      <c r="X1" s="65"/>
      <c r="Y1" s="65"/>
      <c r="Z1" s="65"/>
    </row>
    <row r="2">
      <c r="A2" s="66"/>
      <c r="B2" s="67" t="s">
        <v>319</v>
      </c>
      <c r="C2" s="68"/>
      <c r="D2" s="68"/>
      <c r="E2" s="68"/>
      <c r="F2" s="68"/>
      <c r="G2" s="68"/>
      <c r="H2" s="68"/>
      <c r="I2" s="68"/>
      <c r="J2" s="68"/>
      <c r="K2" s="65"/>
      <c r="L2" s="65"/>
      <c r="M2" s="65"/>
      <c r="N2" s="65"/>
      <c r="O2" s="65"/>
      <c r="P2" s="65"/>
      <c r="Q2" s="65"/>
      <c r="R2" s="65"/>
      <c r="S2" s="65"/>
      <c r="T2" s="65"/>
      <c r="U2" s="65"/>
      <c r="V2" s="65"/>
      <c r="W2" s="65"/>
      <c r="X2" s="65"/>
      <c r="Y2" s="65"/>
      <c r="Z2" s="65"/>
    </row>
    <row r="3">
      <c r="A3" s="69"/>
      <c r="B3" s="70" t="s">
        <v>4</v>
      </c>
      <c r="C3" s="71" t="s">
        <v>320</v>
      </c>
      <c r="D3" s="71" t="s">
        <v>321</v>
      </c>
      <c r="E3" s="71" t="s">
        <v>322</v>
      </c>
      <c r="F3" s="71" t="s">
        <v>323</v>
      </c>
      <c r="G3" s="70" t="s">
        <v>13</v>
      </c>
      <c r="H3" s="70" t="s">
        <v>324</v>
      </c>
      <c r="I3" s="71" t="s">
        <v>325</v>
      </c>
      <c r="J3" s="72" t="s">
        <v>326</v>
      </c>
      <c r="K3" s="65"/>
      <c r="L3" s="65"/>
      <c r="M3" s="65"/>
      <c r="N3" s="65"/>
      <c r="O3" s="65"/>
      <c r="P3" s="65"/>
      <c r="Q3" s="65"/>
      <c r="R3" s="65"/>
      <c r="S3" s="65"/>
      <c r="T3" s="65"/>
      <c r="U3" s="65"/>
      <c r="V3" s="65"/>
      <c r="W3" s="65"/>
      <c r="X3" s="65"/>
      <c r="Y3" s="65"/>
      <c r="Z3" s="65"/>
    </row>
    <row r="4" hidden="1">
      <c r="A4" s="73">
        <v>1.0</v>
      </c>
      <c r="B4" s="73" t="s">
        <v>327</v>
      </c>
      <c r="C4" s="73" t="s">
        <v>328</v>
      </c>
      <c r="D4" s="73" t="s">
        <v>329</v>
      </c>
      <c r="E4" s="73" t="s">
        <v>330</v>
      </c>
      <c r="F4" s="74" t="s">
        <v>331</v>
      </c>
      <c r="G4" s="73" t="s">
        <v>332</v>
      </c>
      <c r="H4" s="73" t="s">
        <v>333</v>
      </c>
      <c r="I4" s="73" t="s">
        <v>334</v>
      </c>
      <c r="J4" s="73" t="s">
        <v>335</v>
      </c>
      <c r="K4" s="75" t="s">
        <v>336</v>
      </c>
      <c r="L4" s="65"/>
      <c r="M4" s="65"/>
      <c r="N4" s="65"/>
      <c r="O4" s="65"/>
      <c r="P4" s="65"/>
      <c r="Q4" s="65"/>
      <c r="R4" s="65"/>
      <c r="S4" s="65"/>
      <c r="T4" s="65"/>
      <c r="U4" s="65"/>
      <c r="V4" s="65"/>
      <c r="W4" s="65"/>
      <c r="X4" s="65"/>
      <c r="Y4" s="65"/>
      <c r="Z4" s="65"/>
    </row>
    <row r="5" hidden="1">
      <c r="A5" s="73">
        <v>2.0</v>
      </c>
      <c r="B5" s="76" t="s">
        <v>337</v>
      </c>
      <c r="C5" s="73" t="s">
        <v>186</v>
      </c>
      <c r="D5" s="73" t="s">
        <v>338</v>
      </c>
      <c r="E5" s="73" t="s">
        <v>339</v>
      </c>
      <c r="F5" s="73" t="s">
        <v>340</v>
      </c>
      <c r="G5" s="73" t="s">
        <v>341</v>
      </c>
      <c r="H5" s="73" t="s">
        <v>342</v>
      </c>
      <c r="I5" s="73" t="s">
        <v>343</v>
      </c>
      <c r="J5" s="73" t="s">
        <v>344</v>
      </c>
      <c r="K5" s="65"/>
      <c r="L5" s="65"/>
      <c r="M5" s="65"/>
      <c r="N5" s="65"/>
      <c r="O5" s="65"/>
      <c r="P5" s="65"/>
      <c r="Q5" s="65"/>
      <c r="R5" s="65"/>
      <c r="S5" s="65"/>
      <c r="T5" s="65"/>
      <c r="U5" s="65"/>
      <c r="V5" s="65"/>
      <c r="W5" s="65"/>
      <c r="X5" s="65"/>
      <c r="Y5" s="65"/>
      <c r="Z5" s="65"/>
    </row>
    <row r="6">
      <c r="A6" s="77">
        <v>3.0</v>
      </c>
      <c r="B6" s="34"/>
      <c r="C6" s="73" t="s">
        <v>328</v>
      </c>
      <c r="D6" s="73" t="s">
        <v>345</v>
      </c>
      <c r="E6" s="73" t="s">
        <v>339</v>
      </c>
      <c r="F6" s="73" t="s">
        <v>346</v>
      </c>
      <c r="G6" s="73" t="s">
        <v>347</v>
      </c>
      <c r="H6" s="73" t="s">
        <v>348</v>
      </c>
      <c r="I6" s="73" t="s">
        <v>349</v>
      </c>
      <c r="J6" s="73"/>
      <c r="K6" s="75" t="s">
        <v>336</v>
      </c>
      <c r="L6" s="65"/>
      <c r="M6" s="65"/>
      <c r="N6" s="65"/>
      <c r="O6" s="65"/>
      <c r="P6" s="65"/>
      <c r="Q6" s="65"/>
      <c r="R6" s="65"/>
      <c r="S6" s="65"/>
      <c r="T6" s="65"/>
      <c r="U6" s="65"/>
      <c r="V6" s="65"/>
      <c r="W6" s="65"/>
      <c r="X6" s="65"/>
      <c r="Y6" s="65"/>
      <c r="Z6" s="65"/>
    </row>
    <row r="7" hidden="1">
      <c r="A7" s="73">
        <v>4.0</v>
      </c>
      <c r="B7" s="73" t="s">
        <v>350</v>
      </c>
      <c r="C7" s="73" t="s">
        <v>328</v>
      </c>
      <c r="D7" s="73" t="s">
        <v>351</v>
      </c>
      <c r="E7" s="78"/>
      <c r="F7" s="73" t="s">
        <v>352</v>
      </c>
      <c r="G7" s="73" t="s">
        <v>353</v>
      </c>
      <c r="H7" s="73" t="s">
        <v>348</v>
      </c>
      <c r="I7" s="73" t="s">
        <v>354</v>
      </c>
      <c r="J7" s="73" t="s">
        <v>355</v>
      </c>
      <c r="K7" s="65"/>
      <c r="L7" s="65"/>
      <c r="M7" s="65"/>
      <c r="N7" s="65"/>
      <c r="O7" s="65"/>
      <c r="P7" s="65"/>
      <c r="Q7" s="65"/>
      <c r="R7" s="65"/>
      <c r="S7" s="65"/>
      <c r="T7" s="65"/>
      <c r="U7" s="65"/>
      <c r="V7" s="65"/>
      <c r="W7" s="65"/>
      <c r="X7" s="65"/>
      <c r="Y7" s="65"/>
      <c r="Z7" s="65"/>
    </row>
    <row r="8" hidden="1">
      <c r="A8" s="73">
        <v>5.0</v>
      </c>
      <c r="B8" s="73" t="s">
        <v>356</v>
      </c>
      <c r="C8" s="73" t="s">
        <v>357</v>
      </c>
      <c r="D8" s="73" t="s">
        <v>358</v>
      </c>
      <c r="E8" s="73"/>
      <c r="F8" s="79" t="s">
        <v>359</v>
      </c>
      <c r="G8" s="80" t="s">
        <v>360</v>
      </c>
      <c r="H8" s="73"/>
      <c r="I8" s="73" t="s">
        <v>361</v>
      </c>
      <c r="J8" s="78"/>
      <c r="K8" s="75" t="s">
        <v>336</v>
      </c>
      <c r="L8" s="65"/>
      <c r="M8" s="65"/>
      <c r="N8" s="65"/>
      <c r="O8" s="65"/>
      <c r="P8" s="65"/>
      <c r="Q8" s="65"/>
      <c r="R8" s="65"/>
      <c r="S8" s="65"/>
      <c r="T8" s="65"/>
      <c r="U8" s="65"/>
      <c r="V8" s="65"/>
      <c r="W8" s="65"/>
      <c r="X8" s="65"/>
      <c r="Y8" s="65"/>
      <c r="Z8" s="65"/>
    </row>
    <row r="9">
      <c r="A9" s="77">
        <v>6.0</v>
      </c>
      <c r="B9" s="73" t="s">
        <v>362</v>
      </c>
      <c r="C9" s="73" t="s">
        <v>357</v>
      </c>
      <c r="D9" s="73" t="s">
        <v>363</v>
      </c>
      <c r="E9" s="73" t="s">
        <v>364</v>
      </c>
      <c r="F9" s="73" t="s">
        <v>365</v>
      </c>
      <c r="G9" s="78"/>
      <c r="H9" s="73" t="s">
        <v>366</v>
      </c>
      <c r="I9" s="73" t="s">
        <v>367</v>
      </c>
      <c r="J9" s="78"/>
      <c r="K9" s="75" t="s">
        <v>336</v>
      </c>
      <c r="L9" s="65"/>
      <c r="M9" s="65"/>
      <c r="N9" s="65"/>
      <c r="O9" s="65"/>
      <c r="P9" s="65"/>
      <c r="Q9" s="65"/>
      <c r="R9" s="65"/>
      <c r="S9" s="65"/>
      <c r="T9" s="65"/>
      <c r="U9" s="65"/>
      <c r="V9" s="65"/>
      <c r="W9" s="65"/>
      <c r="X9" s="65"/>
      <c r="Y9" s="65"/>
      <c r="Z9" s="65"/>
    </row>
    <row r="10" hidden="1">
      <c r="A10" s="73">
        <v>7.0</v>
      </c>
      <c r="B10" s="73" t="s">
        <v>368</v>
      </c>
      <c r="C10" s="73" t="s">
        <v>357</v>
      </c>
      <c r="D10" s="73" t="s">
        <v>369</v>
      </c>
      <c r="E10" s="73" t="s">
        <v>339</v>
      </c>
      <c r="F10" s="73" t="s">
        <v>370</v>
      </c>
      <c r="G10" s="73" t="s">
        <v>371</v>
      </c>
      <c r="H10" s="73" t="s">
        <v>372</v>
      </c>
      <c r="I10" s="73" t="s">
        <v>210</v>
      </c>
      <c r="J10" s="73" t="s">
        <v>373</v>
      </c>
      <c r="K10" s="81"/>
      <c r="L10" s="65"/>
      <c r="M10" s="65"/>
      <c r="N10" s="65"/>
      <c r="O10" s="65"/>
      <c r="P10" s="65"/>
      <c r="Q10" s="65"/>
      <c r="R10" s="65"/>
      <c r="S10" s="65"/>
      <c r="T10" s="65"/>
      <c r="U10" s="65"/>
      <c r="V10" s="65"/>
      <c r="W10" s="65"/>
      <c r="X10" s="65"/>
      <c r="Y10" s="65"/>
      <c r="Z10" s="65"/>
    </row>
    <row r="11" hidden="1">
      <c r="A11" s="73">
        <v>8.0</v>
      </c>
      <c r="B11" s="82" t="s">
        <v>374</v>
      </c>
      <c r="C11" s="73" t="s">
        <v>357</v>
      </c>
      <c r="D11" s="82"/>
      <c r="E11" s="82" t="s">
        <v>375</v>
      </c>
      <c r="F11" s="82" t="s">
        <v>376</v>
      </c>
      <c r="G11" s="82" t="s">
        <v>377</v>
      </c>
      <c r="H11" s="82" t="s">
        <v>378</v>
      </c>
      <c r="I11" s="82" t="s">
        <v>70</v>
      </c>
      <c r="J11" s="82" t="s">
        <v>379</v>
      </c>
      <c r="K11" s="75" t="s">
        <v>380</v>
      </c>
      <c r="L11" s="65"/>
      <c r="M11" s="65"/>
      <c r="N11" s="65"/>
      <c r="O11" s="65"/>
      <c r="P11" s="65"/>
      <c r="Q11" s="65"/>
      <c r="R11" s="65"/>
      <c r="S11" s="65"/>
      <c r="T11" s="65"/>
      <c r="U11" s="65"/>
      <c r="V11" s="65"/>
      <c r="W11" s="65"/>
      <c r="X11" s="65"/>
      <c r="Y11" s="65"/>
      <c r="Z11" s="65"/>
    </row>
    <row r="12" hidden="1">
      <c r="A12" s="73">
        <v>9.0</v>
      </c>
      <c r="B12" s="82" t="s">
        <v>374</v>
      </c>
      <c r="C12" s="73" t="s">
        <v>328</v>
      </c>
      <c r="D12" s="82" t="s">
        <v>381</v>
      </c>
      <c r="E12" s="82"/>
      <c r="F12" s="82" t="s">
        <v>382</v>
      </c>
      <c r="G12" s="82" t="s">
        <v>383</v>
      </c>
      <c r="H12" s="82" t="s">
        <v>378</v>
      </c>
      <c r="I12" s="82" t="s">
        <v>384</v>
      </c>
      <c r="J12" s="82" t="s">
        <v>385</v>
      </c>
      <c r="K12" s="65"/>
      <c r="L12" s="65"/>
      <c r="M12" s="65"/>
      <c r="N12" s="65"/>
      <c r="O12" s="65"/>
      <c r="P12" s="65"/>
      <c r="Q12" s="65"/>
      <c r="R12" s="65"/>
      <c r="S12" s="65"/>
      <c r="T12" s="65"/>
      <c r="U12" s="65"/>
      <c r="V12" s="65"/>
      <c r="W12" s="65"/>
      <c r="X12" s="65"/>
      <c r="Y12" s="65"/>
      <c r="Z12" s="65"/>
    </row>
    <row r="13" hidden="1">
      <c r="A13" s="79">
        <v>10.0</v>
      </c>
      <c r="B13" s="79" t="s">
        <v>386</v>
      </c>
      <c r="C13" s="79" t="s">
        <v>107</v>
      </c>
      <c r="D13" s="79" t="s">
        <v>387</v>
      </c>
      <c r="E13" s="79" t="s">
        <v>364</v>
      </c>
      <c r="F13" s="79" t="s">
        <v>388</v>
      </c>
      <c r="G13" s="82" t="s">
        <v>389</v>
      </c>
      <c r="H13" s="82" t="s">
        <v>390</v>
      </c>
      <c r="I13" s="82" t="s">
        <v>160</v>
      </c>
      <c r="J13" s="78"/>
      <c r="K13" s="65"/>
      <c r="L13" s="65"/>
      <c r="M13" s="65"/>
      <c r="N13" s="65"/>
      <c r="O13" s="65"/>
      <c r="P13" s="65"/>
      <c r="Q13" s="65"/>
      <c r="R13" s="65"/>
      <c r="S13" s="65"/>
      <c r="T13" s="65"/>
      <c r="U13" s="65"/>
      <c r="V13" s="65"/>
      <c r="W13" s="65"/>
      <c r="X13" s="65"/>
      <c r="Y13" s="65"/>
      <c r="Z13" s="65"/>
    </row>
    <row r="14" hidden="1">
      <c r="A14" s="73">
        <v>11.0</v>
      </c>
      <c r="B14" s="73" t="s">
        <v>292</v>
      </c>
      <c r="C14" s="82" t="s">
        <v>107</v>
      </c>
      <c r="D14" s="82" t="s">
        <v>387</v>
      </c>
      <c r="E14" s="82" t="s">
        <v>364</v>
      </c>
      <c r="F14" s="82" t="s">
        <v>391</v>
      </c>
      <c r="G14" s="82" t="s">
        <v>392</v>
      </c>
      <c r="H14" s="82" t="s">
        <v>393</v>
      </c>
      <c r="I14" s="82" t="s">
        <v>160</v>
      </c>
      <c r="J14" s="82" t="s">
        <v>394</v>
      </c>
      <c r="K14" s="65"/>
      <c r="L14" s="65"/>
      <c r="M14" s="65"/>
      <c r="N14" s="65"/>
      <c r="O14" s="65"/>
      <c r="P14" s="65"/>
      <c r="Q14" s="65"/>
      <c r="R14" s="65"/>
      <c r="S14" s="65"/>
      <c r="T14" s="65"/>
      <c r="U14" s="65"/>
      <c r="V14" s="65"/>
      <c r="W14" s="65"/>
      <c r="X14" s="65"/>
      <c r="Y14" s="65"/>
      <c r="Z14" s="65"/>
    </row>
    <row r="15" ht="129.0" hidden="1" customHeight="1">
      <c r="A15" s="73"/>
      <c r="B15" s="73" t="s">
        <v>91</v>
      </c>
      <c r="C15" s="73" t="s">
        <v>395</v>
      </c>
      <c r="D15" s="73" t="s">
        <v>396</v>
      </c>
      <c r="E15" s="73" t="s">
        <v>397</v>
      </c>
      <c r="F15" s="73" t="s">
        <v>398</v>
      </c>
      <c r="G15" s="73" t="s">
        <v>399</v>
      </c>
      <c r="H15" s="73" t="s">
        <v>400</v>
      </c>
      <c r="I15" s="73" t="s">
        <v>42</v>
      </c>
      <c r="J15" s="78"/>
      <c r="K15" s="65"/>
      <c r="L15" s="65"/>
      <c r="M15" s="65"/>
      <c r="N15" s="65"/>
      <c r="O15" s="65"/>
      <c r="P15" s="65"/>
      <c r="Q15" s="65"/>
      <c r="R15" s="65"/>
      <c r="S15" s="65"/>
      <c r="T15" s="65"/>
      <c r="U15" s="65"/>
      <c r="V15" s="65"/>
      <c r="W15" s="65"/>
      <c r="X15" s="65"/>
      <c r="Y15" s="65"/>
      <c r="Z15" s="65"/>
    </row>
    <row r="16" hidden="1">
      <c r="A16" s="73">
        <v>12.0</v>
      </c>
      <c r="B16" s="73" t="s">
        <v>264</v>
      </c>
      <c r="C16" s="73" t="s">
        <v>186</v>
      </c>
      <c r="D16" s="73" t="s">
        <v>401</v>
      </c>
      <c r="E16" s="73" t="s">
        <v>339</v>
      </c>
      <c r="F16" s="73" t="s">
        <v>402</v>
      </c>
      <c r="G16" s="73" t="s">
        <v>403</v>
      </c>
      <c r="H16" s="73" t="s">
        <v>404</v>
      </c>
      <c r="I16" s="73" t="s">
        <v>160</v>
      </c>
      <c r="J16" s="73" t="s">
        <v>405</v>
      </c>
      <c r="K16" s="83" t="s">
        <v>406</v>
      </c>
      <c r="L16" s="84"/>
      <c r="M16" s="65"/>
      <c r="N16" s="65"/>
      <c r="O16" s="65"/>
      <c r="P16" s="65"/>
      <c r="Q16" s="65"/>
      <c r="R16" s="65"/>
      <c r="S16" s="65"/>
      <c r="T16" s="65"/>
      <c r="U16" s="65"/>
      <c r="V16" s="65"/>
      <c r="W16" s="65"/>
      <c r="X16" s="65"/>
      <c r="Y16" s="65"/>
      <c r="Z16" s="65"/>
    </row>
    <row r="17" hidden="1">
      <c r="A17" s="73">
        <v>13.0</v>
      </c>
      <c r="B17" s="73" t="s">
        <v>407</v>
      </c>
      <c r="C17" s="73" t="s">
        <v>408</v>
      </c>
      <c r="D17" s="73" t="s">
        <v>409</v>
      </c>
      <c r="E17" s="73" t="s">
        <v>339</v>
      </c>
      <c r="F17" s="73" t="s">
        <v>410</v>
      </c>
      <c r="G17" s="73" t="s">
        <v>411</v>
      </c>
      <c r="H17" s="73" t="s">
        <v>412</v>
      </c>
      <c r="I17" s="73" t="s">
        <v>160</v>
      </c>
      <c r="J17" s="73" t="s">
        <v>413</v>
      </c>
      <c r="K17" s="75" t="s">
        <v>414</v>
      </c>
      <c r="L17" s="65"/>
      <c r="M17" s="65"/>
      <c r="N17" s="65"/>
      <c r="O17" s="65"/>
      <c r="P17" s="65"/>
      <c r="Q17" s="65"/>
      <c r="R17" s="65"/>
      <c r="S17" s="65"/>
      <c r="T17" s="65"/>
      <c r="U17" s="65"/>
      <c r="V17" s="65"/>
      <c r="W17" s="65"/>
      <c r="X17" s="65"/>
      <c r="Y17" s="65"/>
      <c r="Z17" s="65"/>
    </row>
    <row r="18" hidden="1">
      <c r="A18" s="73">
        <v>14.0</v>
      </c>
      <c r="B18" s="73" t="s">
        <v>415</v>
      </c>
      <c r="C18" s="73" t="s">
        <v>328</v>
      </c>
      <c r="D18" s="73" t="s">
        <v>416</v>
      </c>
      <c r="E18" s="73" t="s">
        <v>339</v>
      </c>
      <c r="F18" s="73" t="s">
        <v>417</v>
      </c>
      <c r="G18" s="73"/>
      <c r="H18" s="73"/>
      <c r="I18" s="73" t="s">
        <v>418</v>
      </c>
      <c r="J18" s="73" t="s">
        <v>419</v>
      </c>
      <c r="K18" s="65"/>
      <c r="L18" s="65"/>
      <c r="M18" s="65"/>
      <c r="N18" s="65"/>
      <c r="O18" s="65"/>
      <c r="P18" s="65"/>
      <c r="Q18" s="65"/>
      <c r="R18" s="65"/>
      <c r="S18" s="65"/>
      <c r="T18" s="65"/>
      <c r="U18" s="65"/>
      <c r="V18" s="65"/>
      <c r="W18" s="65"/>
      <c r="X18" s="65"/>
      <c r="Y18" s="65"/>
      <c r="Z18" s="65"/>
    </row>
    <row r="19" hidden="1">
      <c r="A19" s="79">
        <v>15.0</v>
      </c>
      <c r="B19" s="79" t="s">
        <v>420</v>
      </c>
      <c r="C19" s="79" t="s">
        <v>328</v>
      </c>
      <c r="D19" s="79" t="s">
        <v>416</v>
      </c>
      <c r="E19" s="79" t="s">
        <v>339</v>
      </c>
      <c r="F19" s="79" t="s">
        <v>421</v>
      </c>
      <c r="G19" s="73" t="s">
        <v>422</v>
      </c>
      <c r="H19" s="78"/>
      <c r="I19" s="73" t="s">
        <v>418</v>
      </c>
      <c r="J19" s="73" t="s">
        <v>419</v>
      </c>
      <c r="K19" s="65"/>
      <c r="L19" s="65"/>
      <c r="M19" s="65"/>
      <c r="N19" s="65"/>
      <c r="O19" s="65"/>
      <c r="P19" s="65"/>
      <c r="Q19" s="65"/>
      <c r="R19" s="65"/>
      <c r="S19" s="65"/>
      <c r="T19" s="65"/>
      <c r="U19" s="65"/>
      <c r="V19" s="65"/>
      <c r="W19" s="65"/>
      <c r="X19" s="65"/>
      <c r="Y19" s="65"/>
      <c r="Z19" s="65"/>
    </row>
    <row r="20" hidden="1">
      <c r="A20" s="73">
        <v>16.0</v>
      </c>
      <c r="B20" s="12" t="s">
        <v>423</v>
      </c>
      <c r="C20" s="73" t="s">
        <v>107</v>
      </c>
      <c r="D20" s="73" t="s">
        <v>424</v>
      </c>
      <c r="E20" s="73" t="s">
        <v>425</v>
      </c>
      <c r="F20" s="73" t="s">
        <v>426</v>
      </c>
      <c r="G20" s="73" t="s">
        <v>427</v>
      </c>
      <c r="H20" s="73" t="s">
        <v>428</v>
      </c>
      <c r="I20" s="12" t="s">
        <v>160</v>
      </c>
      <c r="J20" s="82" t="s">
        <v>429</v>
      </c>
      <c r="K20" s="65"/>
      <c r="M20" s="65"/>
      <c r="N20" s="65"/>
      <c r="O20" s="65"/>
      <c r="P20" s="65"/>
      <c r="Q20" s="65"/>
      <c r="R20" s="65"/>
      <c r="S20" s="65"/>
      <c r="T20" s="65"/>
      <c r="U20" s="65"/>
      <c r="V20" s="65"/>
      <c r="W20" s="65"/>
      <c r="X20" s="65"/>
      <c r="Y20" s="65"/>
      <c r="Z20" s="65"/>
    </row>
    <row r="21" hidden="1">
      <c r="A21" s="73">
        <v>17.0</v>
      </c>
      <c r="B21" s="73" t="s">
        <v>430</v>
      </c>
      <c r="C21" s="73" t="s">
        <v>408</v>
      </c>
      <c r="D21" s="73" t="s">
        <v>431</v>
      </c>
      <c r="E21" s="73" t="s">
        <v>339</v>
      </c>
      <c r="F21" s="73" t="s">
        <v>432</v>
      </c>
      <c r="G21" s="73" t="s">
        <v>433</v>
      </c>
      <c r="H21" s="73" t="s">
        <v>418</v>
      </c>
      <c r="I21" s="73" t="s">
        <v>434</v>
      </c>
      <c r="J21" s="73" t="s">
        <v>435</v>
      </c>
      <c r="K21" s="65"/>
      <c r="L21" s="65"/>
      <c r="M21" s="65"/>
      <c r="N21" s="65"/>
      <c r="O21" s="65"/>
      <c r="P21" s="65"/>
      <c r="Q21" s="65"/>
      <c r="R21" s="65"/>
      <c r="S21" s="65"/>
      <c r="T21" s="65"/>
      <c r="U21" s="65"/>
      <c r="V21" s="65"/>
      <c r="W21" s="65"/>
      <c r="X21" s="65"/>
      <c r="Y21" s="65"/>
      <c r="Z21" s="65"/>
    </row>
    <row r="22" hidden="1">
      <c r="A22" s="73"/>
      <c r="B22" s="12" t="s">
        <v>436</v>
      </c>
      <c r="C22" s="73" t="s">
        <v>357</v>
      </c>
      <c r="D22" s="73"/>
      <c r="E22" s="73" t="s">
        <v>437</v>
      </c>
      <c r="F22" s="73" t="s">
        <v>438</v>
      </c>
      <c r="G22" s="73"/>
      <c r="H22" s="85" t="s">
        <v>439</v>
      </c>
      <c r="I22" s="85"/>
      <c r="J22" s="78"/>
      <c r="K22" s="75"/>
      <c r="L22" s="65"/>
      <c r="M22" s="65"/>
      <c r="N22" s="65"/>
      <c r="O22" s="65"/>
      <c r="P22" s="65"/>
      <c r="Q22" s="65"/>
      <c r="R22" s="65"/>
      <c r="S22" s="65"/>
      <c r="T22" s="65"/>
      <c r="U22" s="65"/>
      <c r="V22" s="65"/>
      <c r="W22" s="65"/>
      <c r="X22" s="65"/>
      <c r="Y22" s="65"/>
      <c r="Z22" s="65"/>
    </row>
    <row r="23" hidden="1">
      <c r="A23" s="73">
        <v>18.0</v>
      </c>
      <c r="B23" s="12" t="s">
        <v>440</v>
      </c>
      <c r="C23" s="73" t="s">
        <v>357</v>
      </c>
      <c r="D23" s="73" t="s">
        <v>441</v>
      </c>
      <c r="E23" s="73" t="s">
        <v>339</v>
      </c>
      <c r="F23" s="73" t="s">
        <v>442</v>
      </c>
      <c r="G23" s="73" t="s">
        <v>443</v>
      </c>
      <c r="H23" s="85"/>
      <c r="I23" s="85" t="s">
        <v>444</v>
      </c>
      <c r="J23" s="78"/>
      <c r="K23" s="75" t="s">
        <v>445</v>
      </c>
      <c r="L23" s="65"/>
      <c r="M23" s="65"/>
      <c r="N23" s="65"/>
      <c r="O23" s="65"/>
      <c r="P23" s="65"/>
      <c r="Q23" s="65"/>
      <c r="R23" s="65"/>
      <c r="S23" s="65"/>
      <c r="T23" s="65"/>
      <c r="U23" s="65"/>
      <c r="V23" s="65"/>
      <c r="W23" s="65"/>
      <c r="X23" s="65"/>
      <c r="Y23" s="65"/>
      <c r="Z23" s="65"/>
    </row>
    <row r="24" hidden="1">
      <c r="A24" s="73">
        <v>19.0</v>
      </c>
      <c r="B24" s="73" t="s">
        <v>446</v>
      </c>
      <c r="C24" s="73" t="s">
        <v>328</v>
      </c>
      <c r="D24" s="73" t="s">
        <v>447</v>
      </c>
      <c r="E24" s="73" t="s">
        <v>448</v>
      </c>
      <c r="F24" s="73" t="s">
        <v>449</v>
      </c>
      <c r="G24" s="73" t="s">
        <v>450</v>
      </c>
      <c r="H24" s="73" t="s">
        <v>451</v>
      </c>
      <c r="I24" s="73" t="s">
        <v>125</v>
      </c>
      <c r="J24" s="73" t="s">
        <v>452</v>
      </c>
      <c r="K24" s="75" t="s">
        <v>445</v>
      </c>
      <c r="L24" s="65"/>
      <c r="M24" s="65"/>
      <c r="N24" s="65"/>
      <c r="O24" s="65"/>
      <c r="P24" s="65"/>
      <c r="Q24" s="65"/>
      <c r="R24" s="65"/>
      <c r="S24" s="65"/>
      <c r="T24" s="65"/>
      <c r="U24" s="65"/>
      <c r="V24" s="65"/>
      <c r="W24" s="65"/>
      <c r="X24" s="65"/>
      <c r="Y24" s="65"/>
      <c r="Z24" s="65"/>
    </row>
    <row r="25" hidden="1">
      <c r="A25" s="73">
        <v>20.0</v>
      </c>
      <c r="B25" s="73" t="s">
        <v>453</v>
      </c>
      <c r="C25" s="73" t="s">
        <v>328</v>
      </c>
      <c r="D25" s="73" t="s">
        <v>454</v>
      </c>
      <c r="E25" s="73" t="s">
        <v>339</v>
      </c>
      <c r="F25" s="73" t="s">
        <v>455</v>
      </c>
      <c r="G25" s="73" t="s">
        <v>456</v>
      </c>
      <c r="H25" s="73" t="s">
        <v>457</v>
      </c>
      <c r="I25" s="73" t="s">
        <v>125</v>
      </c>
      <c r="J25" s="73" t="s">
        <v>458</v>
      </c>
      <c r="K25" s="65"/>
      <c r="L25" s="65"/>
      <c r="M25" s="65"/>
      <c r="N25" s="65"/>
      <c r="O25" s="65"/>
      <c r="P25" s="65"/>
      <c r="Q25" s="65"/>
      <c r="R25" s="65"/>
      <c r="S25" s="65"/>
      <c r="T25" s="65"/>
      <c r="U25" s="65"/>
      <c r="V25" s="65"/>
      <c r="W25" s="65"/>
      <c r="X25" s="65"/>
      <c r="Y25" s="65"/>
      <c r="Z25" s="65"/>
    </row>
    <row r="26" hidden="1">
      <c r="A26" s="73">
        <v>21.0</v>
      </c>
      <c r="B26" s="73" t="s">
        <v>459</v>
      </c>
      <c r="C26" s="73" t="s">
        <v>328</v>
      </c>
      <c r="D26" s="73" t="s">
        <v>460</v>
      </c>
      <c r="E26" s="73" t="s">
        <v>339</v>
      </c>
      <c r="F26" s="73" t="s">
        <v>461</v>
      </c>
      <c r="G26" s="73" t="s">
        <v>462</v>
      </c>
      <c r="H26" s="73" t="s">
        <v>463</v>
      </c>
      <c r="I26" s="73" t="s">
        <v>125</v>
      </c>
      <c r="J26" s="73" t="s">
        <v>464</v>
      </c>
      <c r="K26" s="65"/>
      <c r="L26" s="65"/>
      <c r="M26" s="65"/>
      <c r="N26" s="65"/>
      <c r="O26" s="65"/>
      <c r="P26" s="65"/>
      <c r="Q26" s="65"/>
      <c r="R26" s="65"/>
      <c r="S26" s="65"/>
      <c r="T26" s="65"/>
      <c r="U26" s="65"/>
      <c r="V26" s="65"/>
      <c r="W26" s="65"/>
      <c r="X26" s="65"/>
      <c r="Y26" s="65"/>
      <c r="Z26" s="65"/>
    </row>
    <row r="27" hidden="1">
      <c r="A27" s="74">
        <v>22.0</v>
      </c>
      <c r="B27" s="74" t="s">
        <v>465</v>
      </c>
      <c r="C27" s="74" t="s">
        <v>357</v>
      </c>
      <c r="D27" s="73" t="s">
        <v>466</v>
      </c>
      <c r="E27" s="73" t="s">
        <v>437</v>
      </c>
      <c r="F27" s="73" t="s">
        <v>467</v>
      </c>
      <c r="G27" s="73" t="s">
        <v>468</v>
      </c>
      <c r="H27" s="73" t="s">
        <v>469</v>
      </c>
      <c r="I27" s="73" t="s">
        <v>125</v>
      </c>
      <c r="J27" s="73" t="s">
        <v>470</v>
      </c>
      <c r="K27" s="75" t="s">
        <v>445</v>
      </c>
      <c r="L27" s="65"/>
      <c r="M27" s="65"/>
      <c r="N27" s="65"/>
      <c r="O27" s="65"/>
      <c r="P27" s="65"/>
      <c r="Q27" s="65"/>
      <c r="R27" s="65"/>
      <c r="S27" s="65"/>
      <c r="T27" s="65"/>
      <c r="U27" s="65"/>
      <c r="V27" s="65"/>
      <c r="W27" s="65"/>
      <c r="X27" s="65"/>
      <c r="Y27" s="65"/>
      <c r="Z27" s="65"/>
    </row>
    <row r="28" hidden="1">
      <c r="A28" s="73">
        <v>23.0</v>
      </c>
      <c r="B28" s="73" t="s">
        <v>471</v>
      </c>
      <c r="C28" s="73" t="s">
        <v>328</v>
      </c>
      <c r="D28" s="73" t="s">
        <v>472</v>
      </c>
      <c r="E28" s="73" t="s">
        <v>448</v>
      </c>
      <c r="F28" s="73" t="s">
        <v>473</v>
      </c>
      <c r="G28" s="73" t="s">
        <v>474</v>
      </c>
      <c r="H28" s="73" t="s">
        <v>475</v>
      </c>
      <c r="I28" s="73" t="s">
        <v>125</v>
      </c>
      <c r="J28" s="73" t="s">
        <v>476</v>
      </c>
      <c r="K28" s="75" t="s">
        <v>445</v>
      </c>
      <c r="L28" s="65"/>
      <c r="M28" s="65"/>
      <c r="N28" s="65"/>
      <c r="O28" s="65"/>
      <c r="P28" s="65"/>
      <c r="Q28" s="65"/>
      <c r="R28" s="65"/>
      <c r="S28" s="65"/>
      <c r="T28" s="65"/>
      <c r="U28" s="65"/>
      <c r="V28" s="65"/>
      <c r="W28" s="65"/>
      <c r="X28" s="65"/>
      <c r="Y28" s="65"/>
      <c r="Z28" s="65"/>
    </row>
    <row r="29" hidden="1">
      <c r="A29" s="73">
        <v>24.0</v>
      </c>
      <c r="B29" s="73" t="s">
        <v>296</v>
      </c>
      <c r="C29" s="73" t="s">
        <v>357</v>
      </c>
      <c r="D29" s="73" t="s">
        <v>477</v>
      </c>
      <c r="E29" s="73" t="s">
        <v>339</v>
      </c>
      <c r="F29" s="73" t="s">
        <v>478</v>
      </c>
      <c r="G29" s="73" t="s">
        <v>479</v>
      </c>
      <c r="H29" s="73" t="s">
        <v>480</v>
      </c>
      <c r="I29" s="73" t="s">
        <v>125</v>
      </c>
      <c r="J29" s="73" t="s">
        <v>481</v>
      </c>
      <c r="K29" s="75" t="s">
        <v>445</v>
      </c>
      <c r="L29" s="65"/>
      <c r="M29" s="65"/>
      <c r="N29" s="65"/>
      <c r="O29" s="65"/>
      <c r="P29" s="65"/>
      <c r="Q29" s="65"/>
      <c r="R29" s="65"/>
      <c r="S29" s="65"/>
      <c r="T29" s="65"/>
      <c r="U29" s="65"/>
      <c r="V29" s="65"/>
      <c r="W29" s="65"/>
      <c r="X29" s="65"/>
      <c r="Y29" s="65"/>
      <c r="Z29" s="65"/>
    </row>
    <row r="30" hidden="1">
      <c r="A30" s="73">
        <v>25.0</v>
      </c>
      <c r="B30" s="73" t="s">
        <v>146</v>
      </c>
      <c r="C30" s="73" t="s">
        <v>328</v>
      </c>
      <c r="D30" s="73" t="s">
        <v>477</v>
      </c>
      <c r="E30" s="73" t="s">
        <v>339</v>
      </c>
      <c r="F30" s="73" t="s">
        <v>482</v>
      </c>
      <c r="G30" s="73" t="s">
        <v>483</v>
      </c>
      <c r="H30" s="73" t="s">
        <v>480</v>
      </c>
      <c r="I30" s="73" t="s">
        <v>125</v>
      </c>
      <c r="J30" s="73" t="s">
        <v>484</v>
      </c>
      <c r="K30" s="65"/>
      <c r="L30" s="65"/>
      <c r="M30" s="65"/>
      <c r="N30" s="65"/>
      <c r="O30" s="65"/>
      <c r="P30" s="65"/>
      <c r="Q30" s="65"/>
      <c r="R30" s="65"/>
      <c r="S30" s="65"/>
      <c r="T30" s="65"/>
      <c r="U30" s="65"/>
      <c r="V30" s="65"/>
      <c r="W30" s="65"/>
      <c r="X30" s="65"/>
      <c r="Y30" s="65"/>
      <c r="Z30" s="65"/>
    </row>
    <row r="31" hidden="1">
      <c r="A31" s="73">
        <v>26.0</v>
      </c>
      <c r="B31" s="73" t="s">
        <v>485</v>
      </c>
      <c r="C31" s="73" t="s">
        <v>328</v>
      </c>
      <c r="D31" s="73" t="s">
        <v>486</v>
      </c>
      <c r="E31" s="73" t="s">
        <v>339</v>
      </c>
      <c r="F31" s="73" t="s">
        <v>487</v>
      </c>
      <c r="G31" s="73" t="s">
        <v>488</v>
      </c>
      <c r="H31" s="73" t="s">
        <v>489</v>
      </c>
      <c r="I31" s="73" t="s">
        <v>125</v>
      </c>
      <c r="J31" s="73" t="s">
        <v>490</v>
      </c>
      <c r="K31" s="86"/>
      <c r="L31" s="65"/>
      <c r="M31" s="65"/>
      <c r="N31" s="65"/>
      <c r="O31" s="65"/>
      <c r="P31" s="65"/>
      <c r="Q31" s="65"/>
      <c r="R31" s="65"/>
      <c r="S31" s="65"/>
      <c r="T31" s="65"/>
      <c r="U31" s="65"/>
      <c r="V31" s="65"/>
      <c r="W31" s="65"/>
      <c r="X31" s="65"/>
      <c r="Y31" s="65"/>
      <c r="Z31" s="65"/>
    </row>
    <row r="32" hidden="1">
      <c r="A32" s="73">
        <v>27.0</v>
      </c>
      <c r="B32" s="73" t="s">
        <v>258</v>
      </c>
      <c r="C32" s="73" t="s">
        <v>408</v>
      </c>
      <c r="D32" s="73" t="s">
        <v>491</v>
      </c>
      <c r="E32" s="73" t="s">
        <v>339</v>
      </c>
      <c r="F32" s="73" t="s">
        <v>492</v>
      </c>
      <c r="G32" s="73" t="s">
        <v>493</v>
      </c>
      <c r="H32" s="73" t="s">
        <v>494</v>
      </c>
      <c r="I32" s="73" t="s">
        <v>160</v>
      </c>
      <c r="J32" s="73" t="s">
        <v>495</v>
      </c>
      <c r="K32" s="86"/>
      <c r="L32" s="65"/>
      <c r="M32" s="65"/>
      <c r="N32" s="65"/>
      <c r="O32" s="65"/>
      <c r="P32" s="65"/>
      <c r="Q32" s="65"/>
      <c r="R32" s="65"/>
      <c r="S32" s="65"/>
      <c r="T32" s="65"/>
      <c r="U32" s="65"/>
      <c r="V32" s="65"/>
      <c r="W32" s="65"/>
      <c r="X32" s="65"/>
      <c r="Y32" s="65"/>
      <c r="Z32" s="65"/>
    </row>
    <row r="33" hidden="1">
      <c r="A33" s="73">
        <v>28.0</v>
      </c>
      <c r="B33" s="87" t="s">
        <v>496</v>
      </c>
      <c r="C33" s="73" t="s">
        <v>357</v>
      </c>
      <c r="D33" s="73" t="s">
        <v>497</v>
      </c>
      <c r="E33" s="73" t="s">
        <v>339</v>
      </c>
      <c r="F33" s="73" t="s">
        <v>498</v>
      </c>
      <c r="G33" s="78"/>
      <c r="H33" s="73" t="s">
        <v>499</v>
      </c>
      <c r="I33" s="73" t="s">
        <v>160</v>
      </c>
      <c r="J33" s="73" t="s">
        <v>500</v>
      </c>
      <c r="K33" s="88"/>
      <c r="L33" s="88"/>
      <c r="M33" s="88"/>
      <c r="N33" s="88"/>
      <c r="O33" s="88"/>
      <c r="P33" s="88"/>
      <c r="Q33" s="88"/>
      <c r="R33" s="88"/>
      <c r="S33" s="88"/>
      <c r="T33" s="88"/>
      <c r="U33" s="88"/>
      <c r="V33" s="88"/>
      <c r="W33" s="88"/>
      <c r="X33" s="88"/>
      <c r="Y33" s="88"/>
      <c r="Z33" s="88"/>
    </row>
    <row r="34" hidden="1">
      <c r="A34" s="73">
        <v>29.0</v>
      </c>
      <c r="B34" s="11" t="s">
        <v>211</v>
      </c>
      <c r="C34" s="12" t="s">
        <v>186</v>
      </c>
      <c r="D34" s="89"/>
      <c r="E34" s="89"/>
      <c r="F34" s="11" t="s">
        <v>501</v>
      </c>
      <c r="G34" s="89"/>
      <c r="H34" s="73" t="s">
        <v>502</v>
      </c>
      <c r="I34" s="73" t="s">
        <v>503</v>
      </c>
      <c r="J34" s="89"/>
      <c r="K34" s="88"/>
      <c r="L34" s="88"/>
      <c r="M34" s="88"/>
      <c r="N34" s="88"/>
      <c r="O34" s="88"/>
      <c r="P34" s="88"/>
      <c r="Q34" s="88"/>
      <c r="R34" s="88"/>
      <c r="S34" s="88"/>
      <c r="T34" s="88"/>
      <c r="U34" s="88"/>
      <c r="V34" s="88"/>
      <c r="W34" s="88"/>
      <c r="X34" s="88"/>
      <c r="Y34" s="88"/>
      <c r="Z34" s="88"/>
    </row>
    <row r="35" hidden="1">
      <c r="A35" s="74">
        <v>30.0</v>
      </c>
      <c r="B35" s="90" t="s">
        <v>504</v>
      </c>
      <c r="C35" s="74" t="s">
        <v>357</v>
      </c>
      <c r="D35" s="73" t="s">
        <v>505</v>
      </c>
      <c r="E35" s="73" t="s">
        <v>339</v>
      </c>
      <c r="F35" s="73" t="s">
        <v>506</v>
      </c>
      <c r="G35" s="73" t="s">
        <v>507</v>
      </c>
      <c r="H35" s="73" t="s">
        <v>508</v>
      </c>
      <c r="I35" s="73" t="s">
        <v>444</v>
      </c>
      <c r="J35" s="73" t="s">
        <v>509</v>
      </c>
      <c r="K35" s="65"/>
      <c r="L35" s="65"/>
      <c r="M35" s="65"/>
      <c r="N35" s="65"/>
      <c r="O35" s="65"/>
      <c r="P35" s="65"/>
      <c r="Q35" s="65"/>
      <c r="R35" s="65"/>
      <c r="S35" s="65"/>
      <c r="T35" s="65"/>
      <c r="U35" s="65"/>
      <c r="V35" s="65"/>
      <c r="W35" s="65"/>
      <c r="X35" s="65"/>
      <c r="Y35" s="65"/>
      <c r="Z35" s="65"/>
    </row>
    <row r="36" hidden="1">
      <c r="A36" s="79">
        <v>31.0</v>
      </c>
      <c r="B36" s="91" t="s">
        <v>510</v>
      </c>
      <c r="C36" s="92" t="s">
        <v>107</v>
      </c>
      <c r="D36" s="73" t="s">
        <v>511</v>
      </c>
      <c r="E36" s="73" t="s">
        <v>339</v>
      </c>
      <c r="F36" s="73" t="s">
        <v>512</v>
      </c>
      <c r="G36" s="78"/>
      <c r="H36" s="73" t="s">
        <v>513</v>
      </c>
      <c r="I36" s="73" t="s">
        <v>514</v>
      </c>
      <c r="J36" s="73" t="s">
        <v>515</v>
      </c>
      <c r="K36" s="65"/>
      <c r="L36" s="65"/>
      <c r="M36" s="65"/>
      <c r="N36" s="65"/>
      <c r="O36" s="65"/>
      <c r="P36" s="65"/>
      <c r="Q36" s="65"/>
      <c r="R36" s="65"/>
      <c r="S36" s="65"/>
      <c r="T36" s="65"/>
      <c r="U36" s="65"/>
      <c r="V36" s="65"/>
      <c r="W36" s="65"/>
      <c r="X36" s="65"/>
      <c r="Y36" s="65"/>
      <c r="Z36" s="65"/>
    </row>
    <row r="37" hidden="1">
      <c r="A37" s="74">
        <v>32.0</v>
      </c>
      <c r="B37" s="90" t="s">
        <v>165</v>
      </c>
      <c r="C37" s="74" t="s">
        <v>357</v>
      </c>
      <c r="D37" s="73" t="s">
        <v>516</v>
      </c>
      <c r="E37" s="73" t="s">
        <v>437</v>
      </c>
      <c r="F37" s="73" t="s">
        <v>517</v>
      </c>
      <c r="G37" s="73" t="s">
        <v>518</v>
      </c>
      <c r="H37" s="73" t="s">
        <v>519</v>
      </c>
      <c r="I37" s="73" t="s">
        <v>418</v>
      </c>
      <c r="J37" s="78"/>
      <c r="K37" s="65"/>
      <c r="L37" s="65"/>
      <c r="M37" s="65"/>
      <c r="N37" s="65"/>
      <c r="O37" s="65"/>
      <c r="P37" s="65"/>
      <c r="Q37" s="65"/>
      <c r="R37" s="65"/>
      <c r="S37" s="65"/>
      <c r="T37" s="65"/>
      <c r="U37" s="65"/>
      <c r="V37" s="65"/>
      <c r="W37" s="65"/>
      <c r="X37" s="65"/>
      <c r="Y37" s="65"/>
      <c r="Z37" s="65"/>
    </row>
    <row r="38" hidden="1">
      <c r="A38" s="79">
        <v>33.0</v>
      </c>
      <c r="B38" s="93" t="s">
        <v>520</v>
      </c>
      <c r="C38" s="79" t="s">
        <v>107</v>
      </c>
      <c r="D38" s="73" t="s">
        <v>521</v>
      </c>
      <c r="E38" s="73" t="s">
        <v>339</v>
      </c>
      <c r="F38" s="73" t="s">
        <v>522</v>
      </c>
      <c r="G38" s="78"/>
      <c r="H38" s="73" t="s">
        <v>523</v>
      </c>
      <c r="I38" s="73" t="s">
        <v>160</v>
      </c>
      <c r="J38" s="73" t="s">
        <v>524</v>
      </c>
      <c r="K38" s="65"/>
      <c r="L38" s="65"/>
      <c r="M38" s="65"/>
      <c r="N38" s="65"/>
      <c r="O38" s="65"/>
      <c r="P38" s="65"/>
      <c r="Q38" s="65"/>
      <c r="R38" s="65"/>
      <c r="S38" s="65"/>
      <c r="T38" s="65"/>
      <c r="U38" s="65"/>
      <c r="V38" s="65"/>
      <c r="W38" s="65"/>
      <c r="X38" s="65"/>
      <c r="Y38" s="65"/>
      <c r="Z38" s="65"/>
    </row>
    <row r="39" hidden="1">
      <c r="A39" s="94">
        <v>34.0</v>
      </c>
      <c r="B39" s="87" t="s">
        <v>525</v>
      </c>
      <c r="C39" s="73" t="s">
        <v>328</v>
      </c>
      <c r="D39" s="73" t="s">
        <v>526</v>
      </c>
      <c r="E39" s="73" t="s">
        <v>339</v>
      </c>
      <c r="F39" s="73" t="s">
        <v>527</v>
      </c>
      <c r="G39" s="73" t="s">
        <v>528</v>
      </c>
      <c r="H39" s="73" t="s">
        <v>529</v>
      </c>
      <c r="I39" s="73" t="s">
        <v>125</v>
      </c>
      <c r="J39" s="73" t="s">
        <v>530</v>
      </c>
      <c r="K39" s="65"/>
      <c r="L39" s="65"/>
      <c r="M39" s="65"/>
      <c r="N39" s="65"/>
      <c r="O39" s="65"/>
      <c r="P39" s="65"/>
      <c r="Q39" s="65"/>
      <c r="R39" s="65"/>
      <c r="S39" s="65"/>
      <c r="T39" s="65"/>
      <c r="U39" s="65"/>
      <c r="V39" s="65"/>
      <c r="W39" s="65"/>
      <c r="X39" s="65"/>
      <c r="Y39" s="65"/>
      <c r="Z39" s="65"/>
    </row>
    <row r="40" hidden="1">
      <c r="A40" s="94">
        <v>35.0</v>
      </c>
      <c r="B40" s="87" t="s">
        <v>531</v>
      </c>
      <c r="C40" s="73" t="s">
        <v>357</v>
      </c>
      <c r="D40" s="73" t="s">
        <v>532</v>
      </c>
      <c r="E40" s="73" t="s">
        <v>437</v>
      </c>
      <c r="F40" s="73" t="s">
        <v>533</v>
      </c>
      <c r="G40" s="73" t="s">
        <v>534</v>
      </c>
      <c r="H40" s="73" t="s">
        <v>529</v>
      </c>
      <c r="I40" s="73" t="s">
        <v>535</v>
      </c>
      <c r="J40" s="73" t="s">
        <v>536</v>
      </c>
      <c r="K40" s="65"/>
      <c r="L40" s="65"/>
      <c r="M40" s="65"/>
      <c r="N40" s="65"/>
      <c r="O40" s="65"/>
      <c r="P40" s="65"/>
      <c r="Q40" s="65"/>
      <c r="R40" s="65"/>
      <c r="S40" s="65"/>
      <c r="T40" s="65"/>
      <c r="U40" s="65"/>
      <c r="V40" s="65"/>
      <c r="W40" s="65"/>
      <c r="X40" s="65"/>
      <c r="Y40" s="65"/>
      <c r="Z40" s="65"/>
    </row>
    <row r="41" hidden="1">
      <c r="A41" s="95">
        <v>36.0</v>
      </c>
      <c r="B41" s="96" t="s">
        <v>537</v>
      </c>
      <c r="C41" s="97" t="s">
        <v>328</v>
      </c>
      <c r="D41" s="97" t="s">
        <v>538</v>
      </c>
      <c r="E41" s="97" t="s">
        <v>437</v>
      </c>
      <c r="F41" s="97" t="s">
        <v>539</v>
      </c>
      <c r="G41" s="97" t="s">
        <v>540</v>
      </c>
      <c r="H41" s="97" t="s">
        <v>529</v>
      </c>
      <c r="I41" s="97" t="s">
        <v>125</v>
      </c>
      <c r="J41" s="97" t="s">
        <v>541</v>
      </c>
      <c r="K41" s="65"/>
      <c r="L41" s="65"/>
      <c r="M41" s="65"/>
      <c r="N41" s="65"/>
      <c r="O41" s="65"/>
      <c r="P41" s="65"/>
      <c r="Q41" s="65"/>
      <c r="R41" s="65"/>
      <c r="S41" s="65"/>
      <c r="T41" s="65"/>
      <c r="U41" s="65"/>
      <c r="V41" s="65"/>
      <c r="W41" s="65"/>
      <c r="X41" s="65"/>
      <c r="Y41" s="65"/>
      <c r="Z41" s="65"/>
    </row>
    <row r="42" hidden="1">
      <c r="A42" s="95">
        <v>37.0</v>
      </c>
      <c r="B42" s="96" t="s">
        <v>233</v>
      </c>
      <c r="C42" s="97" t="s">
        <v>328</v>
      </c>
      <c r="D42" s="97" t="s">
        <v>542</v>
      </c>
      <c r="E42" s="97" t="s">
        <v>543</v>
      </c>
      <c r="F42" s="97" t="s">
        <v>544</v>
      </c>
      <c r="G42" s="97" t="s">
        <v>545</v>
      </c>
      <c r="H42" s="97" t="s">
        <v>529</v>
      </c>
      <c r="I42" s="97" t="s">
        <v>125</v>
      </c>
      <c r="J42" s="98"/>
      <c r="K42" s="65"/>
      <c r="L42" s="65"/>
      <c r="M42" s="65"/>
      <c r="N42" s="65"/>
      <c r="O42" s="65"/>
      <c r="P42" s="65"/>
      <c r="Q42" s="65"/>
      <c r="R42" s="65"/>
      <c r="S42" s="65"/>
      <c r="T42" s="65"/>
      <c r="U42" s="65"/>
      <c r="V42" s="65"/>
      <c r="W42" s="65"/>
      <c r="X42" s="65"/>
      <c r="Y42" s="65"/>
      <c r="Z42" s="65"/>
    </row>
    <row r="43" hidden="1">
      <c r="A43" s="94">
        <v>38.0</v>
      </c>
      <c r="B43" s="87" t="s">
        <v>546</v>
      </c>
      <c r="C43" s="73" t="s">
        <v>328</v>
      </c>
      <c r="D43" s="73" t="s">
        <v>547</v>
      </c>
      <c r="E43" s="73" t="s">
        <v>543</v>
      </c>
      <c r="F43" s="73" t="s">
        <v>548</v>
      </c>
      <c r="G43" s="78"/>
      <c r="H43" s="73" t="s">
        <v>549</v>
      </c>
      <c r="I43" s="73" t="s">
        <v>125</v>
      </c>
      <c r="J43" s="73" t="s">
        <v>550</v>
      </c>
      <c r="K43" s="65"/>
      <c r="L43" s="65"/>
      <c r="M43" s="65"/>
      <c r="N43" s="65"/>
      <c r="O43" s="65"/>
      <c r="P43" s="65"/>
      <c r="Q43" s="65"/>
      <c r="R43" s="65"/>
      <c r="S43" s="65"/>
      <c r="T43" s="65"/>
      <c r="U43" s="65"/>
      <c r="V43" s="65"/>
      <c r="W43" s="65"/>
      <c r="X43" s="65"/>
      <c r="Y43" s="65"/>
      <c r="Z43" s="65"/>
    </row>
    <row r="44" hidden="1">
      <c r="A44" s="94">
        <v>39.0</v>
      </c>
      <c r="B44" s="87" t="s">
        <v>551</v>
      </c>
      <c r="C44" s="73" t="s">
        <v>328</v>
      </c>
      <c r="D44" s="73" t="s">
        <v>552</v>
      </c>
      <c r="E44" s="73" t="s">
        <v>437</v>
      </c>
      <c r="F44" s="73" t="s">
        <v>553</v>
      </c>
      <c r="G44" s="73" t="s">
        <v>554</v>
      </c>
      <c r="H44" s="73" t="s">
        <v>549</v>
      </c>
      <c r="I44" s="73" t="s">
        <v>555</v>
      </c>
      <c r="J44" s="73" t="s">
        <v>556</v>
      </c>
      <c r="Q44" s="65"/>
      <c r="R44" s="65"/>
      <c r="S44" s="65"/>
      <c r="T44" s="65"/>
      <c r="U44" s="65"/>
      <c r="V44" s="65"/>
      <c r="W44" s="65"/>
      <c r="X44" s="65"/>
      <c r="Y44" s="65"/>
      <c r="Z44" s="65"/>
    </row>
    <row r="45">
      <c r="A45" s="99"/>
      <c r="B45" s="100" t="s">
        <v>557</v>
      </c>
      <c r="C45" s="101" t="s">
        <v>558</v>
      </c>
      <c r="D45" s="102"/>
      <c r="E45" s="102"/>
      <c r="F45" s="102"/>
      <c r="G45" s="102"/>
      <c r="H45" s="102"/>
      <c r="I45" s="102"/>
      <c r="J45" s="56"/>
      <c r="K45" s="103" t="s">
        <v>559</v>
      </c>
      <c r="L45" s="103" t="s">
        <v>560</v>
      </c>
      <c r="M45" s="103" t="s">
        <v>561</v>
      </c>
      <c r="N45" s="103" t="s">
        <v>562</v>
      </c>
      <c r="O45" s="103" t="s">
        <v>563</v>
      </c>
      <c r="P45" s="103" t="s">
        <v>564</v>
      </c>
      <c r="Q45" s="88"/>
      <c r="R45" s="88"/>
      <c r="S45" s="88"/>
      <c r="T45" s="88"/>
      <c r="U45" s="88"/>
      <c r="V45" s="88"/>
      <c r="W45" s="88"/>
      <c r="X45" s="88"/>
      <c r="Y45" s="88"/>
      <c r="Z45" s="88"/>
    </row>
    <row r="46">
      <c r="A46" s="104"/>
      <c r="B46" s="105" t="s">
        <v>565</v>
      </c>
      <c r="C46" s="106" t="s">
        <v>566</v>
      </c>
      <c r="D46" s="102"/>
      <c r="E46" s="102"/>
      <c r="F46" s="102"/>
      <c r="G46" s="102"/>
      <c r="H46" s="102"/>
      <c r="I46" s="102"/>
      <c r="J46" s="56"/>
      <c r="K46" s="107" t="s">
        <v>567</v>
      </c>
      <c r="L46" s="108">
        <v>3.0</v>
      </c>
      <c r="M46" s="109"/>
      <c r="N46" s="108">
        <v>4.0</v>
      </c>
      <c r="O46" s="108">
        <v>1.0</v>
      </c>
      <c r="P46" s="109"/>
      <c r="Q46" s="88"/>
      <c r="R46" s="88"/>
      <c r="S46" s="88"/>
      <c r="T46" s="88"/>
      <c r="U46" s="88"/>
      <c r="V46" s="88"/>
      <c r="W46" s="88"/>
      <c r="X46" s="88"/>
      <c r="Y46" s="88"/>
      <c r="Z46" s="88"/>
    </row>
    <row r="47">
      <c r="A47" s="104"/>
      <c r="B47" s="105" t="s">
        <v>568</v>
      </c>
      <c r="C47" s="106" t="s">
        <v>569</v>
      </c>
      <c r="D47" s="102"/>
      <c r="E47" s="102"/>
      <c r="F47" s="102"/>
      <c r="G47" s="102"/>
      <c r="H47" s="102"/>
      <c r="I47" s="102"/>
      <c r="J47" s="56"/>
      <c r="K47" s="107" t="s">
        <v>570</v>
      </c>
      <c r="L47" s="108">
        <v>3.0</v>
      </c>
      <c r="M47" s="108">
        <v>1.0</v>
      </c>
      <c r="N47" s="108">
        <v>4.0</v>
      </c>
      <c r="O47" s="108">
        <v>1.0</v>
      </c>
      <c r="P47" s="109"/>
      <c r="Q47" s="88"/>
      <c r="R47" s="88"/>
      <c r="S47" s="88"/>
      <c r="T47" s="88"/>
      <c r="U47" s="88"/>
      <c r="V47" s="88"/>
      <c r="W47" s="88"/>
      <c r="X47" s="88"/>
      <c r="Y47" s="88"/>
      <c r="Z47" s="88"/>
    </row>
    <row r="48">
      <c r="A48" s="104"/>
      <c r="B48" s="105" t="s">
        <v>571</v>
      </c>
      <c r="C48" s="106" t="s">
        <v>572</v>
      </c>
      <c r="D48" s="102"/>
      <c r="E48" s="102"/>
      <c r="F48" s="102"/>
      <c r="G48" s="102"/>
      <c r="H48" s="102"/>
      <c r="I48" s="102"/>
      <c r="J48" s="56"/>
      <c r="K48" s="110" t="s">
        <v>573</v>
      </c>
      <c r="L48" s="108">
        <v>6.0</v>
      </c>
      <c r="M48" s="109"/>
      <c r="N48" s="108">
        <v>13.0</v>
      </c>
      <c r="O48" s="109"/>
      <c r="P48" s="109"/>
      <c r="Q48" s="88"/>
      <c r="R48" s="88"/>
      <c r="S48" s="88"/>
      <c r="T48" s="88"/>
      <c r="U48" s="88"/>
      <c r="V48" s="88"/>
      <c r="W48" s="88"/>
      <c r="X48" s="88"/>
      <c r="Y48" s="88"/>
      <c r="Z48" s="88"/>
    </row>
    <row r="49">
      <c r="A49" s="104"/>
      <c r="B49" s="105" t="s">
        <v>574</v>
      </c>
      <c r="C49" s="106" t="s">
        <v>575</v>
      </c>
      <c r="D49" s="102"/>
      <c r="E49" s="102"/>
      <c r="F49" s="102"/>
      <c r="G49" s="102"/>
      <c r="H49" s="102"/>
      <c r="I49" s="102"/>
      <c r="J49" s="56"/>
      <c r="K49" s="110" t="s">
        <v>576</v>
      </c>
      <c r="L49" s="109"/>
      <c r="M49" s="109"/>
      <c r="N49" s="109"/>
      <c r="O49" s="108">
        <v>9.0</v>
      </c>
      <c r="P49" s="109"/>
      <c r="Q49" s="88"/>
      <c r="R49" s="88"/>
      <c r="S49" s="88"/>
      <c r="T49" s="88"/>
      <c r="U49" s="88"/>
      <c r="V49" s="88"/>
      <c r="W49" s="88"/>
      <c r="X49" s="88"/>
      <c r="Y49" s="88"/>
      <c r="Z49" s="88"/>
    </row>
    <row r="50">
      <c r="A50" s="104"/>
      <c r="B50" s="105" t="s">
        <v>577</v>
      </c>
      <c r="C50" s="106" t="s">
        <v>578</v>
      </c>
      <c r="D50" s="102"/>
      <c r="E50" s="102"/>
      <c r="F50" s="102"/>
      <c r="G50" s="102"/>
      <c r="H50" s="102"/>
      <c r="I50" s="102"/>
      <c r="J50" s="56"/>
      <c r="K50" s="88"/>
      <c r="L50" s="88"/>
      <c r="M50" s="88"/>
      <c r="N50" s="88"/>
      <c r="O50" s="88"/>
      <c r="P50" s="88"/>
      <c r="Q50" s="88"/>
      <c r="R50" s="88"/>
      <c r="S50" s="88"/>
      <c r="T50" s="88"/>
      <c r="U50" s="88"/>
      <c r="V50" s="88"/>
      <c r="W50" s="88"/>
      <c r="X50" s="88"/>
      <c r="Y50" s="88"/>
      <c r="Z50" s="88"/>
    </row>
    <row r="51">
      <c r="A51" s="104"/>
      <c r="B51" s="105" t="s">
        <v>579</v>
      </c>
      <c r="C51" s="106"/>
      <c r="D51" s="102"/>
      <c r="E51" s="102"/>
      <c r="F51" s="102"/>
      <c r="G51" s="102"/>
      <c r="H51" s="102"/>
      <c r="I51" s="102"/>
      <c r="J51" s="56"/>
      <c r="K51" s="88"/>
      <c r="L51" s="88"/>
      <c r="M51" s="88"/>
      <c r="N51" s="88"/>
      <c r="O51" s="88"/>
      <c r="P51" s="88"/>
      <c r="Q51" s="88"/>
      <c r="R51" s="88"/>
      <c r="S51" s="88"/>
      <c r="T51" s="88"/>
      <c r="U51" s="88"/>
      <c r="V51" s="88"/>
      <c r="W51" s="88"/>
      <c r="X51" s="88"/>
      <c r="Y51" s="88"/>
      <c r="Z51" s="88"/>
    </row>
    <row r="52">
      <c r="A52" s="99"/>
      <c r="B52" s="111" t="s">
        <v>580</v>
      </c>
      <c r="C52" s="102"/>
      <c r="D52" s="102"/>
      <c r="E52" s="102"/>
      <c r="F52" s="102"/>
      <c r="G52" s="102"/>
      <c r="H52" s="102"/>
      <c r="I52" s="102"/>
      <c r="J52" s="56"/>
      <c r="K52" s="103"/>
      <c r="Q52" s="65"/>
      <c r="R52" s="65"/>
      <c r="S52" s="65"/>
      <c r="T52" s="65"/>
      <c r="U52" s="65"/>
      <c r="V52" s="65"/>
      <c r="W52" s="65"/>
      <c r="X52" s="65"/>
      <c r="Y52" s="65"/>
      <c r="Z52" s="65"/>
    </row>
    <row r="53">
      <c r="A53" s="112"/>
      <c r="B53" s="78"/>
      <c r="C53" s="28" t="s">
        <v>581</v>
      </c>
      <c r="D53" s="28" t="s">
        <v>582</v>
      </c>
      <c r="E53" s="28" t="s">
        <v>583</v>
      </c>
      <c r="F53" s="113" t="s">
        <v>584</v>
      </c>
      <c r="G53" s="113" t="s">
        <v>585</v>
      </c>
      <c r="H53" s="113" t="s">
        <v>586</v>
      </c>
      <c r="I53" s="113" t="s">
        <v>587</v>
      </c>
      <c r="J53" s="113" t="s">
        <v>588</v>
      </c>
      <c r="K53" s="86"/>
      <c r="Q53" s="65"/>
      <c r="R53" s="65"/>
      <c r="S53" s="65"/>
      <c r="T53" s="65"/>
      <c r="U53" s="65"/>
      <c r="V53" s="65"/>
      <c r="W53" s="65"/>
      <c r="X53" s="65"/>
      <c r="Y53" s="65"/>
      <c r="Z53" s="65"/>
    </row>
    <row r="54">
      <c r="A54" s="112"/>
      <c r="B54" s="78"/>
      <c r="C54" s="73" t="s">
        <v>589</v>
      </c>
      <c r="D54" s="73" t="s">
        <v>590</v>
      </c>
      <c r="E54" s="97" t="s">
        <v>591</v>
      </c>
      <c r="F54" s="73" t="s">
        <v>592</v>
      </c>
      <c r="G54" s="20" t="s">
        <v>593</v>
      </c>
      <c r="H54" s="20" t="s">
        <v>594</v>
      </c>
      <c r="I54" s="20" t="s">
        <v>595</v>
      </c>
      <c r="J54" s="20" t="s">
        <v>596</v>
      </c>
      <c r="K54" s="65"/>
      <c r="M54" s="114"/>
      <c r="O54" s="114"/>
      <c r="P54" s="114"/>
      <c r="Q54" s="65"/>
      <c r="R54" s="65"/>
      <c r="S54" s="65"/>
      <c r="T54" s="65"/>
      <c r="U54" s="65"/>
      <c r="V54" s="65"/>
      <c r="W54" s="65"/>
      <c r="X54" s="65"/>
      <c r="Y54" s="65"/>
      <c r="Z54" s="65"/>
    </row>
    <row r="55">
      <c r="A55" s="112"/>
      <c r="B55" s="78"/>
      <c r="C55" s="73" t="s">
        <v>597</v>
      </c>
      <c r="D55" s="73" t="s">
        <v>598</v>
      </c>
      <c r="E55" s="73" t="s">
        <v>165</v>
      </c>
      <c r="F55" s="79" t="s">
        <v>599</v>
      </c>
      <c r="G55" s="115" t="s">
        <v>600</v>
      </c>
      <c r="H55" s="20" t="s">
        <v>601</v>
      </c>
      <c r="I55" s="73" t="s">
        <v>602</v>
      </c>
      <c r="J55" s="73" t="s">
        <v>603</v>
      </c>
      <c r="K55" s="65"/>
      <c r="M55" s="114"/>
      <c r="O55" s="114"/>
      <c r="P55" s="114"/>
      <c r="Q55" s="65"/>
      <c r="R55" s="65"/>
      <c r="S55" s="65"/>
      <c r="T55" s="65"/>
      <c r="U55" s="65"/>
      <c r="V55" s="65"/>
      <c r="W55" s="65"/>
      <c r="X55" s="65"/>
      <c r="Y55" s="65"/>
      <c r="Z55" s="65"/>
    </row>
    <row r="56">
      <c r="A56" s="112"/>
      <c r="B56" s="78"/>
      <c r="C56" s="78"/>
      <c r="D56" s="73" t="s">
        <v>604</v>
      </c>
      <c r="E56" s="73" t="s">
        <v>604</v>
      </c>
      <c r="F56" s="73" t="s">
        <v>605</v>
      </c>
      <c r="G56" s="20" t="s">
        <v>606</v>
      </c>
      <c r="H56" s="20" t="s">
        <v>607</v>
      </c>
      <c r="I56" s="87" t="s">
        <v>608</v>
      </c>
      <c r="J56" s="73"/>
      <c r="K56" s="65"/>
      <c r="L56" s="114"/>
      <c r="M56" s="114"/>
      <c r="N56" s="114"/>
      <c r="O56" s="114"/>
      <c r="P56" s="114"/>
      <c r="Q56" s="65"/>
      <c r="R56" s="65"/>
      <c r="S56" s="65"/>
      <c r="T56" s="65"/>
      <c r="U56" s="65"/>
      <c r="V56" s="65"/>
      <c r="W56" s="65"/>
      <c r="X56" s="65"/>
      <c r="Y56" s="65"/>
      <c r="Z56" s="65"/>
    </row>
    <row r="57">
      <c r="A57" s="112"/>
      <c r="B57" s="78"/>
      <c r="C57" s="78"/>
      <c r="D57" s="73" t="s">
        <v>106</v>
      </c>
      <c r="E57" s="97" t="s">
        <v>609</v>
      </c>
      <c r="F57" s="116" t="s">
        <v>610</v>
      </c>
      <c r="G57" s="73" t="s">
        <v>611</v>
      </c>
      <c r="H57" s="73" t="s">
        <v>612</v>
      </c>
      <c r="I57" s="87" t="s">
        <v>613</v>
      </c>
      <c r="J57" s="78"/>
      <c r="K57" s="65"/>
      <c r="L57" s="114"/>
      <c r="M57" s="114"/>
      <c r="N57" s="114"/>
      <c r="O57" s="114"/>
      <c r="P57" s="114"/>
      <c r="Q57" s="65"/>
      <c r="R57" s="65"/>
      <c r="S57" s="65"/>
      <c r="T57" s="65"/>
      <c r="U57" s="65"/>
      <c r="V57" s="65"/>
      <c r="W57" s="65"/>
      <c r="X57" s="65"/>
      <c r="Y57" s="65"/>
      <c r="Z57" s="65"/>
    </row>
    <row r="58">
      <c r="A58" s="117"/>
      <c r="B58" s="118"/>
      <c r="C58" s="118"/>
      <c r="D58" s="73" t="s">
        <v>614</v>
      </c>
      <c r="E58" s="73" t="s">
        <v>615</v>
      </c>
      <c r="F58" s="87" t="s">
        <v>616</v>
      </c>
      <c r="G58" s="73" t="s">
        <v>617</v>
      </c>
      <c r="H58" s="116" t="s">
        <v>618</v>
      </c>
      <c r="I58" s="116" t="s">
        <v>619</v>
      </c>
      <c r="J58" s="118"/>
      <c r="K58" s="65"/>
      <c r="L58" s="114"/>
      <c r="M58" s="114"/>
      <c r="N58" s="114"/>
      <c r="O58" s="114"/>
      <c r="P58" s="114"/>
      <c r="Q58" s="65"/>
      <c r="R58" s="65"/>
      <c r="S58" s="65"/>
      <c r="T58" s="65"/>
      <c r="U58" s="65"/>
      <c r="V58" s="65"/>
      <c r="W58" s="65"/>
      <c r="X58" s="65"/>
      <c r="Y58" s="65"/>
      <c r="Z58" s="65"/>
    </row>
    <row r="59">
      <c r="A59" s="117"/>
      <c r="B59" s="118"/>
      <c r="C59" s="118"/>
      <c r="D59" s="73" t="s">
        <v>620</v>
      </c>
      <c r="E59" s="73" t="s">
        <v>327</v>
      </c>
      <c r="F59" s="119" t="s">
        <v>621</v>
      </c>
      <c r="G59" s="118"/>
      <c r="H59" s="119" t="s">
        <v>622</v>
      </c>
      <c r="I59" s="73" t="s">
        <v>623</v>
      </c>
      <c r="J59" s="118"/>
      <c r="K59" s="65"/>
      <c r="L59" s="114"/>
      <c r="M59" s="114"/>
      <c r="N59" s="114"/>
      <c r="O59" s="114"/>
      <c r="P59" s="114"/>
      <c r="Q59" s="65"/>
      <c r="R59" s="65"/>
      <c r="S59" s="65"/>
      <c r="T59" s="65"/>
      <c r="U59" s="65"/>
      <c r="V59" s="65"/>
      <c r="W59" s="65"/>
      <c r="X59" s="65"/>
      <c r="Y59" s="65"/>
      <c r="Z59" s="65"/>
    </row>
    <row r="60">
      <c r="A60" s="117"/>
      <c r="B60" s="118"/>
      <c r="C60" s="118"/>
      <c r="D60" s="116" t="s">
        <v>624</v>
      </c>
      <c r="E60" s="116" t="s">
        <v>625</v>
      </c>
      <c r="F60" s="120" t="s">
        <v>626</v>
      </c>
      <c r="G60" s="118"/>
      <c r="H60" s="96" t="s">
        <v>627</v>
      </c>
      <c r="I60" s="116" t="s">
        <v>628</v>
      </c>
      <c r="J60" s="118"/>
      <c r="K60" s="65"/>
      <c r="L60" s="114"/>
      <c r="M60" s="114"/>
      <c r="N60" s="114"/>
      <c r="O60" s="114"/>
      <c r="P60" s="114"/>
      <c r="Q60" s="65"/>
      <c r="R60" s="65"/>
      <c r="S60" s="65"/>
      <c r="T60" s="65"/>
      <c r="U60" s="65"/>
      <c r="V60" s="65"/>
      <c r="W60" s="65"/>
      <c r="X60" s="65"/>
      <c r="Y60" s="65"/>
      <c r="Z60" s="65"/>
    </row>
    <row r="61">
      <c r="A61" s="117"/>
      <c r="B61" s="118"/>
      <c r="C61" s="118"/>
      <c r="D61" s="73" t="s">
        <v>629</v>
      </c>
      <c r="E61" s="116" t="s">
        <v>630</v>
      </c>
      <c r="F61" s="18" t="s">
        <v>631</v>
      </c>
      <c r="G61" s="118"/>
      <c r="H61" s="121" t="s">
        <v>537</v>
      </c>
      <c r="I61" s="73"/>
      <c r="J61" s="118"/>
      <c r="K61" s="65"/>
      <c r="L61" s="114"/>
      <c r="M61" s="114"/>
      <c r="N61" s="114"/>
      <c r="O61" s="114"/>
      <c r="P61" s="114"/>
      <c r="Q61" s="65"/>
      <c r="R61" s="65"/>
      <c r="S61" s="65"/>
      <c r="T61" s="65"/>
      <c r="U61" s="65"/>
      <c r="V61" s="65"/>
      <c r="W61" s="65"/>
      <c r="X61" s="65"/>
      <c r="Y61" s="65"/>
      <c r="Z61" s="65"/>
    </row>
    <row r="62">
      <c r="A62" s="117"/>
      <c r="B62" s="118"/>
      <c r="C62" s="118"/>
      <c r="D62" s="116" t="s">
        <v>632</v>
      </c>
      <c r="E62" s="116" t="s">
        <v>633</v>
      </c>
      <c r="F62" s="20" t="s">
        <v>634</v>
      </c>
      <c r="G62" s="118"/>
      <c r="H62" s="96" t="s">
        <v>635</v>
      </c>
      <c r="I62" s="118"/>
      <c r="J62" s="118"/>
      <c r="K62" s="65"/>
      <c r="L62" s="114"/>
      <c r="M62" s="114"/>
      <c r="N62" s="114"/>
      <c r="O62" s="114"/>
      <c r="P62" s="114"/>
      <c r="Q62" s="65"/>
      <c r="R62" s="65"/>
      <c r="S62" s="65"/>
      <c r="T62" s="65"/>
      <c r="U62" s="65"/>
      <c r="V62" s="65"/>
      <c r="W62" s="65"/>
      <c r="X62" s="65"/>
      <c r="Y62" s="65"/>
      <c r="Z62" s="65"/>
    </row>
    <row r="63">
      <c r="A63" s="117"/>
      <c r="B63" s="118"/>
      <c r="C63" s="118"/>
      <c r="D63" s="116" t="s">
        <v>126</v>
      </c>
      <c r="E63" s="116"/>
      <c r="F63" s="119" t="s">
        <v>154</v>
      </c>
      <c r="G63" s="118"/>
      <c r="H63" s="96" t="s">
        <v>636</v>
      </c>
      <c r="I63" s="118"/>
      <c r="J63" s="118"/>
      <c r="K63" s="65"/>
      <c r="L63" s="114"/>
      <c r="M63" s="114"/>
      <c r="N63" s="114"/>
      <c r="O63" s="114"/>
      <c r="P63" s="114"/>
      <c r="Q63" s="65"/>
      <c r="R63" s="65"/>
      <c r="S63" s="65"/>
      <c r="T63" s="65"/>
      <c r="U63" s="65"/>
      <c r="V63" s="65"/>
      <c r="W63" s="65"/>
      <c r="X63" s="65"/>
      <c r="Y63" s="65"/>
      <c r="Z63" s="65"/>
    </row>
    <row r="64">
      <c r="A64" s="117"/>
      <c r="B64" s="118"/>
      <c r="C64" s="118"/>
      <c r="D64" s="118"/>
      <c r="E64" s="116"/>
      <c r="F64" s="119" t="s">
        <v>258</v>
      </c>
      <c r="G64" s="118"/>
      <c r="H64" s="73" t="s">
        <v>637</v>
      </c>
      <c r="I64" s="118"/>
      <c r="J64" s="118"/>
      <c r="K64" s="65"/>
      <c r="L64" s="114"/>
      <c r="M64" s="114"/>
      <c r="N64" s="114"/>
      <c r="O64" s="114"/>
      <c r="P64" s="114"/>
      <c r="Q64" s="65"/>
      <c r="R64" s="65"/>
      <c r="S64" s="65"/>
      <c r="T64" s="65"/>
      <c r="U64" s="65"/>
      <c r="V64" s="65"/>
      <c r="W64" s="65"/>
      <c r="X64" s="65"/>
      <c r="Y64" s="65"/>
      <c r="Z64" s="65"/>
    </row>
    <row r="65">
      <c r="A65" s="117"/>
      <c r="B65" s="118"/>
      <c r="C65" s="118"/>
      <c r="D65" s="118"/>
      <c r="E65" s="116"/>
      <c r="F65" s="119" t="s">
        <v>638</v>
      </c>
      <c r="G65" s="118"/>
      <c r="H65" s="73" t="s">
        <v>639</v>
      </c>
      <c r="I65" s="118"/>
      <c r="J65" s="118"/>
      <c r="K65" s="65"/>
      <c r="L65" s="114"/>
      <c r="M65" s="114"/>
      <c r="N65" s="114"/>
      <c r="O65" s="114"/>
      <c r="P65" s="114"/>
      <c r="Q65" s="65"/>
      <c r="R65" s="65"/>
      <c r="S65" s="65"/>
      <c r="T65" s="65"/>
      <c r="U65" s="65"/>
      <c r="V65" s="65"/>
      <c r="W65" s="65"/>
      <c r="X65" s="65"/>
      <c r="Y65" s="65"/>
      <c r="Z65" s="65"/>
    </row>
    <row r="66">
      <c r="A66" s="117"/>
      <c r="B66" s="118"/>
      <c r="C66" s="118"/>
      <c r="D66" s="118"/>
      <c r="E66" s="116"/>
      <c r="F66" s="119" t="s">
        <v>640</v>
      </c>
      <c r="G66" s="118"/>
      <c r="H66" s="118"/>
      <c r="I66" s="118"/>
      <c r="J66" s="118"/>
      <c r="K66" s="65"/>
      <c r="L66" s="114"/>
      <c r="M66" s="114"/>
      <c r="N66" s="114"/>
      <c r="O66" s="114"/>
      <c r="P66" s="114"/>
      <c r="Q66" s="65"/>
      <c r="R66" s="65"/>
      <c r="S66" s="65"/>
      <c r="T66" s="65"/>
      <c r="U66" s="65"/>
      <c r="V66" s="65"/>
      <c r="W66" s="65"/>
      <c r="X66" s="65"/>
      <c r="Y66" s="65"/>
      <c r="Z66" s="65"/>
    </row>
    <row r="67">
      <c r="A67" s="117"/>
      <c r="B67" s="118"/>
      <c r="C67" s="118"/>
      <c r="D67" s="118"/>
      <c r="E67" s="116"/>
      <c r="F67" s="122" t="s">
        <v>641</v>
      </c>
      <c r="G67" s="123"/>
      <c r="H67" s="122" t="s">
        <v>642</v>
      </c>
      <c r="I67" s="118"/>
      <c r="J67" s="118"/>
      <c r="K67" s="65"/>
      <c r="L67" s="114"/>
      <c r="M67" s="114"/>
      <c r="N67" s="114"/>
      <c r="O67" s="114"/>
      <c r="P67" s="114"/>
      <c r="Q67" s="65"/>
      <c r="R67" s="65"/>
      <c r="S67" s="65"/>
      <c r="T67" s="65"/>
      <c r="U67" s="65"/>
      <c r="V67" s="65"/>
      <c r="W67" s="65"/>
      <c r="X67" s="65"/>
      <c r="Y67" s="65"/>
      <c r="Z67" s="65"/>
    </row>
    <row r="68">
      <c r="A68" s="117"/>
      <c r="B68" s="118"/>
      <c r="C68" s="118"/>
      <c r="D68" s="118"/>
      <c r="E68" s="116"/>
      <c r="F68" s="119">
        <v>15.0</v>
      </c>
      <c r="G68" s="118"/>
      <c r="H68" s="118"/>
      <c r="I68" s="118"/>
      <c r="J68" s="118"/>
      <c r="K68" s="65"/>
      <c r="L68" s="114"/>
      <c r="M68" s="114"/>
      <c r="N68" s="114"/>
      <c r="O68" s="114"/>
      <c r="P68" s="114"/>
      <c r="Q68" s="65"/>
      <c r="R68" s="65"/>
      <c r="S68" s="65"/>
      <c r="T68" s="65"/>
      <c r="U68" s="65"/>
      <c r="V68" s="65"/>
      <c r="W68" s="65"/>
      <c r="X68" s="65"/>
      <c r="Y68" s="65"/>
      <c r="Z68" s="65"/>
    </row>
    <row r="69">
      <c r="A69" s="117"/>
      <c r="B69" s="118"/>
      <c r="C69" s="118"/>
      <c r="D69" s="118"/>
      <c r="E69" s="116"/>
      <c r="F69" s="73" t="s">
        <v>643</v>
      </c>
      <c r="G69" s="118"/>
      <c r="H69" s="118"/>
      <c r="I69" s="118"/>
      <c r="J69" s="118"/>
      <c r="K69" s="65"/>
      <c r="L69" s="114"/>
      <c r="M69" s="114"/>
      <c r="N69" s="114"/>
      <c r="O69" s="114"/>
      <c r="P69" s="114"/>
      <c r="Q69" s="65"/>
      <c r="R69" s="65"/>
      <c r="S69" s="65"/>
      <c r="T69" s="65"/>
      <c r="U69" s="65"/>
      <c r="V69" s="65"/>
      <c r="W69" s="65"/>
      <c r="X69" s="65"/>
      <c r="Y69" s="65"/>
      <c r="Z69" s="65"/>
    </row>
    <row r="70">
      <c r="A70" s="124">
        <v>1.0</v>
      </c>
      <c r="B70" s="125" t="s">
        <v>644</v>
      </c>
      <c r="C70" s="125" t="s">
        <v>645</v>
      </c>
      <c r="D70" s="125" t="s">
        <v>646</v>
      </c>
      <c r="E70" s="126" t="s">
        <v>647</v>
      </c>
      <c r="F70" s="126" t="s">
        <v>648</v>
      </c>
      <c r="G70" s="123"/>
      <c r="H70" s="125" t="s">
        <v>649</v>
      </c>
      <c r="I70" s="126" t="s">
        <v>650</v>
      </c>
      <c r="J70" s="127" t="s">
        <v>651</v>
      </c>
      <c r="K70" s="65"/>
      <c r="L70" s="114"/>
      <c r="M70" s="114"/>
      <c r="N70" s="114"/>
      <c r="O70" s="114"/>
      <c r="P70" s="114"/>
      <c r="Q70" s="65"/>
      <c r="R70" s="65"/>
      <c r="S70" s="65"/>
      <c r="T70" s="65"/>
      <c r="U70" s="65"/>
      <c r="V70" s="65"/>
      <c r="W70" s="65"/>
      <c r="X70" s="65"/>
      <c r="Y70" s="65"/>
      <c r="Z70" s="65"/>
    </row>
    <row r="71">
      <c r="A71" s="128">
        <v>2.0</v>
      </c>
      <c r="B71" s="125" t="s">
        <v>652</v>
      </c>
      <c r="C71" s="125" t="s">
        <v>653</v>
      </c>
      <c r="D71" s="125" t="s">
        <v>654</v>
      </c>
      <c r="E71" s="125" t="s">
        <v>448</v>
      </c>
      <c r="F71" s="125" t="s">
        <v>655</v>
      </c>
      <c r="G71" s="125" t="s">
        <v>656</v>
      </c>
      <c r="H71" s="125" t="s">
        <v>210</v>
      </c>
      <c r="I71" s="125" t="s">
        <v>232</v>
      </c>
      <c r="J71" s="125" t="s">
        <v>657</v>
      </c>
      <c r="K71" s="75"/>
      <c r="L71" s="65"/>
      <c r="M71" s="65"/>
      <c r="N71" s="65"/>
      <c r="O71" s="65"/>
      <c r="P71" s="65"/>
      <c r="Q71" s="65"/>
      <c r="R71" s="65"/>
      <c r="S71" s="65"/>
      <c r="T71" s="65"/>
      <c r="U71" s="65"/>
      <c r="V71" s="65"/>
      <c r="W71" s="65"/>
      <c r="X71" s="65"/>
      <c r="Y71" s="65"/>
      <c r="Z71" s="65"/>
    </row>
    <row r="72">
      <c r="A72" s="77">
        <v>3.0</v>
      </c>
      <c r="B72" s="97" t="s">
        <v>327</v>
      </c>
      <c r="C72" s="73" t="s">
        <v>328</v>
      </c>
      <c r="D72" s="73" t="s">
        <v>329</v>
      </c>
      <c r="E72" s="73" t="s">
        <v>658</v>
      </c>
      <c r="F72" s="97" t="s">
        <v>659</v>
      </c>
      <c r="G72" s="73" t="s">
        <v>660</v>
      </c>
      <c r="H72" s="73" t="s">
        <v>661</v>
      </c>
      <c r="I72" s="73" t="s">
        <v>662</v>
      </c>
      <c r="J72" s="73" t="s">
        <v>663</v>
      </c>
      <c r="K72" s="75"/>
      <c r="L72" s="65"/>
      <c r="M72" s="65"/>
      <c r="N72" s="65"/>
      <c r="O72" s="65"/>
      <c r="P72" s="65"/>
      <c r="Q72" s="65"/>
      <c r="R72" s="65"/>
      <c r="S72" s="65"/>
      <c r="T72" s="65"/>
      <c r="U72" s="65"/>
      <c r="V72" s="65"/>
      <c r="W72" s="65"/>
      <c r="X72" s="65"/>
      <c r="Y72" s="65"/>
      <c r="Z72" s="65"/>
    </row>
    <row r="73">
      <c r="A73" s="129">
        <v>4.0</v>
      </c>
      <c r="B73" s="73" t="s">
        <v>356</v>
      </c>
      <c r="C73" s="73" t="s">
        <v>645</v>
      </c>
      <c r="D73" s="73" t="s">
        <v>358</v>
      </c>
      <c r="E73" s="73"/>
      <c r="F73" s="73" t="s">
        <v>664</v>
      </c>
      <c r="G73" s="73" t="s">
        <v>665</v>
      </c>
      <c r="H73" s="73" t="s">
        <v>666</v>
      </c>
      <c r="I73" s="73" t="s">
        <v>667</v>
      </c>
      <c r="J73" s="73"/>
      <c r="K73" s="65"/>
      <c r="L73" s="114"/>
      <c r="M73" s="114"/>
      <c r="N73" s="114"/>
      <c r="O73" s="114"/>
      <c r="P73" s="114"/>
      <c r="Q73" s="65"/>
      <c r="R73" s="65"/>
      <c r="S73" s="65"/>
      <c r="T73" s="65"/>
      <c r="U73" s="65"/>
      <c r="V73" s="65"/>
      <c r="W73" s="65"/>
      <c r="X73" s="65"/>
      <c r="Y73" s="65"/>
      <c r="Z73" s="65"/>
    </row>
    <row r="74">
      <c r="A74" s="77">
        <v>5.0</v>
      </c>
      <c r="B74" s="116" t="s">
        <v>192</v>
      </c>
      <c r="C74" s="73" t="s">
        <v>328</v>
      </c>
      <c r="D74" s="73" t="s">
        <v>668</v>
      </c>
      <c r="E74" s="73" t="s">
        <v>448</v>
      </c>
      <c r="F74" s="73" t="s">
        <v>669</v>
      </c>
      <c r="G74" s="73" t="s">
        <v>670</v>
      </c>
      <c r="H74" s="73" t="s">
        <v>366</v>
      </c>
      <c r="I74" s="73" t="s">
        <v>349</v>
      </c>
      <c r="J74" s="73" t="s">
        <v>671</v>
      </c>
      <c r="K74" s="75"/>
      <c r="L74" s="65"/>
      <c r="M74" s="65"/>
      <c r="N74" s="65"/>
      <c r="O74" s="65"/>
      <c r="P74" s="65"/>
      <c r="Q74" s="65"/>
      <c r="R74" s="65"/>
      <c r="S74" s="65"/>
      <c r="T74" s="65"/>
      <c r="U74" s="65"/>
      <c r="V74" s="65"/>
      <c r="W74" s="65"/>
      <c r="X74" s="65"/>
      <c r="Y74" s="65"/>
      <c r="Z74" s="65"/>
    </row>
    <row r="75">
      <c r="A75" s="77">
        <v>6.0</v>
      </c>
      <c r="B75" s="73" t="s">
        <v>362</v>
      </c>
      <c r="C75" s="73" t="s">
        <v>645</v>
      </c>
      <c r="D75" s="73" t="s">
        <v>363</v>
      </c>
      <c r="E75" s="73" t="s">
        <v>364</v>
      </c>
      <c r="F75" s="73" t="s">
        <v>672</v>
      </c>
      <c r="G75" s="73" t="s">
        <v>673</v>
      </c>
      <c r="H75" s="73" t="s">
        <v>366</v>
      </c>
      <c r="I75" s="73" t="s">
        <v>674</v>
      </c>
      <c r="J75" s="73" t="s">
        <v>675</v>
      </c>
      <c r="K75" s="75"/>
      <c r="L75" s="65"/>
      <c r="M75" s="65"/>
      <c r="N75" s="65"/>
      <c r="O75" s="65"/>
      <c r="P75" s="65"/>
      <c r="Q75" s="65"/>
      <c r="R75" s="65"/>
      <c r="S75" s="65"/>
      <c r="T75" s="65"/>
      <c r="U75" s="65"/>
      <c r="V75" s="65"/>
      <c r="W75" s="65"/>
      <c r="X75" s="65"/>
      <c r="Y75" s="65"/>
      <c r="Z75" s="65"/>
    </row>
    <row r="76">
      <c r="A76" s="129">
        <v>7.0</v>
      </c>
      <c r="B76" s="73" t="s">
        <v>407</v>
      </c>
      <c r="C76" s="73" t="s">
        <v>676</v>
      </c>
      <c r="D76" s="73" t="s">
        <v>677</v>
      </c>
      <c r="E76" s="73" t="s">
        <v>448</v>
      </c>
      <c r="F76" s="73" t="s">
        <v>678</v>
      </c>
      <c r="G76" s="73" t="s">
        <v>679</v>
      </c>
      <c r="H76" s="73" t="s">
        <v>680</v>
      </c>
      <c r="I76" s="73" t="s">
        <v>681</v>
      </c>
      <c r="J76" s="73" t="s">
        <v>682</v>
      </c>
      <c r="K76" s="65"/>
      <c r="L76" s="114"/>
      <c r="M76" s="114"/>
      <c r="N76" s="114"/>
      <c r="O76" s="114"/>
      <c r="P76" s="114"/>
      <c r="Q76" s="65"/>
      <c r="R76" s="65"/>
      <c r="S76" s="65"/>
      <c r="T76" s="65"/>
      <c r="U76" s="65"/>
      <c r="V76" s="65"/>
      <c r="W76" s="65"/>
      <c r="X76" s="65"/>
      <c r="Y76" s="65"/>
      <c r="Z76" s="65"/>
    </row>
    <row r="77">
      <c r="A77" s="77">
        <v>8.0</v>
      </c>
      <c r="B77" s="73" t="s">
        <v>296</v>
      </c>
      <c r="C77" s="73" t="s">
        <v>683</v>
      </c>
      <c r="D77" s="73"/>
      <c r="E77" s="73" t="s">
        <v>448</v>
      </c>
      <c r="F77" s="73" t="s">
        <v>684</v>
      </c>
      <c r="G77" s="73" t="s">
        <v>685</v>
      </c>
      <c r="H77" s="73" t="s">
        <v>686</v>
      </c>
      <c r="I77" s="73" t="s">
        <v>295</v>
      </c>
      <c r="J77" s="73" t="s">
        <v>687</v>
      </c>
      <c r="K77" s="65"/>
      <c r="L77" s="114"/>
      <c r="M77" s="114"/>
      <c r="N77" s="114"/>
      <c r="O77" s="114"/>
      <c r="P77" s="114"/>
      <c r="Q77" s="65"/>
      <c r="R77" s="65"/>
      <c r="S77" s="65"/>
      <c r="T77" s="65"/>
      <c r="U77" s="65"/>
      <c r="V77" s="65"/>
      <c r="W77" s="65"/>
      <c r="X77" s="65"/>
      <c r="Y77" s="65"/>
      <c r="Z77" s="65"/>
    </row>
    <row r="78">
      <c r="A78" s="77">
        <v>9.0</v>
      </c>
      <c r="B78" s="20" t="s">
        <v>609</v>
      </c>
      <c r="C78" s="73" t="s">
        <v>645</v>
      </c>
      <c r="D78" s="73" t="s">
        <v>688</v>
      </c>
      <c r="E78" s="73" t="s">
        <v>437</v>
      </c>
      <c r="F78" s="73" t="s">
        <v>689</v>
      </c>
      <c r="G78" s="73" t="s">
        <v>690</v>
      </c>
      <c r="H78" s="73" t="s">
        <v>691</v>
      </c>
      <c r="I78" s="73" t="s">
        <v>692</v>
      </c>
      <c r="J78" s="73" t="s">
        <v>693</v>
      </c>
      <c r="K78" s="65"/>
      <c r="L78" s="114"/>
      <c r="M78" s="114"/>
      <c r="N78" s="114"/>
      <c r="O78" s="114"/>
      <c r="P78" s="114"/>
      <c r="Q78" s="65"/>
      <c r="R78" s="65"/>
      <c r="S78" s="65"/>
      <c r="T78" s="65"/>
      <c r="U78" s="65"/>
      <c r="V78" s="65"/>
      <c r="W78" s="65"/>
      <c r="X78" s="65"/>
      <c r="Y78" s="65"/>
      <c r="Z78" s="65"/>
    </row>
    <row r="79">
      <c r="A79" s="129">
        <v>10.0</v>
      </c>
      <c r="B79" s="82" t="s">
        <v>374</v>
      </c>
      <c r="C79" s="73" t="s">
        <v>107</v>
      </c>
      <c r="D79" s="82" t="s">
        <v>694</v>
      </c>
      <c r="E79" s="82" t="s">
        <v>375</v>
      </c>
      <c r="F79" s="73" t="s">
        <v>695</v>
      </c>
      <c r="G79" s="82" t="s">
        <v>696</v>
      </c>
      <c r="H79" s="82" t="s">
        <v>697</v>
      </c>
      <c r="I79" s="82" t="s">
        <v>70</v>
      </c>
      <c r="J79" s="82" t="s">
        <v>698</v>
      </c>
      <c r="K79" s="65"/>
      <c r="L79" s="114"/>
      <c r="M79" s="114"/>
      <c r="N79" s="114"/>
      <c r="O79" s="114"/>
      <c r="P79" s="114"/>
      <c r="Q79" s="65"/>
      <c r="R79" s="65"/>
      <c r="S79" s="65"/>
      <c r="T79" s="65"/>
      <c r="U79" s="65"/>
      <c r="V79" s="65"/>
      <c r="W79" s="65"/>
      <c r="X79" s="65"/>
      <c r="Y79" s="65"/>
      <c r="Z79" s="65"/>
    </row>
    <row r="80">
      <c r="A80" s="77">
        <v>11.0</v>
      </c>
      <c r="B80" s="82" t="s">
        <v>374</v>
      </c>
      <c r="C80" s="73" t="s">
        <v>395</v>
      </c>
      <c r="D80" s="82" t="s">
        <v>381</v>
      </c>
      <c r="E80" s="82"/>
      <c r="F80" s="82" t="s">
        <v>699</v>
      </c>
      <c r="G80" s="82" t="s">
        <v>383</v>
      </c>
      <c r="H80" s="82" t="s">
        <v>697</v>
      </c>
      <c r="I80" s="82" t="s">
        <v>384</v>
      </c>
      <c r="J80" s="82" t="s">
        <v>700</v>
      </c>
      <c r="K80" s="75"/>
      <c r="L80" s="65"/>
      <c r="M80" s="65"/>
      <c r="N80" s="65"/>
      <c r="O80" s="65"/>
      <c r="P80" s="65"/>
      <c r="Q80" s="65"/>
      <c r="R80" s="65"/>
      <c r="S80" s="65"/>
      <c r="T80" s="65"/>
      <c r="U80" s="65"/>
      <c r="V80" s="65"/>
      <c r="W80" s="65"/>
      <c r="X80" s="65"/>
      <c r="Y80" s="65"/>
      <c r="Z80" s="65"/>
    </row>
    <row r="81">
      <c r="A81" s="77">
        <v>12.0</v>
      </c>
      <c r="B81" s="73" t="s">
        <v>446</v>
      </c>
      <c r="C81" s="73" t="s">
        <v>328</v>
      </c>
      <c r="D81" s="73" t="s">
        <v>701</v>
      </c>
      <c r="E81" s="73" t="s">
        <v>339</v>
      </c>
      <c r="F81" s="73" t="s">
        <v>702</v>
      </c>
      <c r="G81" s="73" t="s">
        <v>703</v>
      </c>
      <c r="H81" s="73" t="s">
        <v>451</v>
      </c>
      <c r="I81" s="73" t="s">
        <v>125</v>
      </c>
      <c r="J81" s="73" t="s">
        <v>704</v>
      </c>
      <c r="K81" s="65"/>
      <c r="L81" s="65"/>
      <c r="M81" s="65"/>
      <c r="N81" s="65"/>
      <c r="O81" s="65"/>
      <c r="P81" s="65"/>
      <c r="Q81" s="65"/>
      <c r="R81" s="65"/>
      <c r="S81" s="65"/>
      <c r="T81" s="65"/>
      <c r="U81" s="65"/>
      <c r="V81" s="65"/>
      <c r="W81" s="65"/>
      <c r="X81" s="65"/>
      <c r="Y81" s="65"/>
      <c r="Z81" s="65"/>
    </row>
    <row r="82">
      <c r="A82" s="129">
        <v>13.0</v>
      </c>
      <c r="B82" s="73" t="s">
        <v>465</v>
      </c>
      <c r="C82" s="73" t="s">
        <v>328</v>
      </c>
      <c r="D82" s="73" t="s">
        <v>466</v>
      </c>
      <c r="E82" s="73" t="s">
        <v>339</v>
      </c>
      <c r="F82" s="73" t="s">
        <v>705</v>
      </c>
      <c r="G82" s="73" t="s">
        <v>706</v>
      </c>
      <c r="H82" s="73" t="s">
        <v>707</v>
      </c>
      <c r="I82" s="73" t="s">
        <v>708</v>
      </c>
      <c r="J82" s="73" t="s">
        <v>709</v>
      </c>
      <c r="K82" s="75"/>
      <c r="L82" s="65"/>
      <c r="M82" s="65"/>
      <c r="N82" s="65"/>
      <c r="O82" s="65"/>
      <c r="P82" s="65"/>
      <c r="Q82" s="65"/>
      <c r="R82" s="65"/>
      <c r="S82" s="65"/>
      <c r="T82" s="65"/>
      <c r="U82" s="65"/>
      <c r="V82" s="65"/>
      <c r="W82" s="65"/>
      <c r="X82" s="65"/>
      <c r="Y82" s="65"/>
      <c r="Z82" s="65"/>
    </row>
    <row r="83">
      <c r="A83" s="128">
        <v>14.0</v>
      </c>
      <c r="B83" s="125" t="s">
        <v>471</v>
      </c>
      <c r="C83" s="125" t="s">
        <v>328</v>
      </c>
      <c r="D83" s="125" t="s">
        <v>472</v>
      </c>
      <c r="E83" s="125" t="s">
        <v>448</v>
      </c>
      <c r="F83" s="125" t="s">
        <v>710</v>
      </c>
      <c r="G83" s="125" t="s">
        <v>474</v>
      </c>
      <c r="H83" s="125" t="s">
        <v>475</v>
      </c>
      <c r="I83" s="125" t="s">
        <v>125</v>
      </c>
      <c r="J83" s="125" t="s">
        <v>711</v>
      </c>
      <c r="K83" s="75"/>
      <c r="L83" s="65"/>
      <c r="M83" s="65"/>
      <c r="N83" s="65"/>
      <c r="O83" s="65"/>
      <c r="P83" s="65"/>
      <c r="Q83" s="65"/>
      <c r="R83" s="65"/>
      <c r="S83" s="65"/>
      <c r="T83" s="65"/>
      <c r="U83" s="65"/>
      <c r="V83" s="65"/>
      <c r="W83" s="65"/>
      <c r="X83" s="65"/>
      <c r="Y83" s="65"/>
      <c r="Z83" s="65"/>
    </row>
    <row r="84">
      <c r="A84" s="77">
        <v>15.0</v>
      </c>
      <c r="B84" s="73" t="s">
        <v>712</v>
      </c>
      <c r="C84" s="73" t="s">
        <v>328</v>
      </c>
      <c r="D84" s="73" t="s">
        <v>713</v>
      </c>
      <c r="E84" s="73" t="s">
        <v>437</v>
      </c>
      <c r="F84" s="73" t="s">
        <v>714</v>
      </c>
      <c r="G84" s="73" t="s">
        <v>715</v>
      </c>
      <c r="H84" s="73" t="s">
        <v>716</v>
      </c>
      <c r="I84" s="73" t="s">
        <v>210</v>
      </c>
      <c r="J84" s="73"/>
      <c r="K84" s="75"/>
      <c r="L84" s="65"/>
      <c r="M84" s="65"/>
      <c r="N84" s="65"/>
      <c r="O84" s="65"/>
      <c r="P84" s="65"/>
      <c r="Q84" s="65"/>
      <c r="R84" s="65"/>
      <c r="S84" s="65"/>
      <c r="T84" s="65"/>
      <c r="U84" s="65"/>
      <c r="V84" s="65"/>
      <c r="W84" s="65"/>
      <c r="X84" s="65"/>
      <c r="Y84" s="65"/>
      <c r="Z84" s="65"/>
    </row>
    <row r="85">
      <c r="A85" s="129">
        <v>16.0</v>
      </c>
      <c r="B85" s="73" t="s">
        <v>258</v>
      </c>
      <c r="C85" s="73" t="s">
        <v>676</v>
      </c>
      <c r="D85" s="73" t="s">
        <v>717</v>
      </c>
      <c r="E85" s="73" t="s">
        <v>448</v>
      </c>
      <c r="F85" s="73" t="s">
        <v>718</v>
      </c>
      <c r="G85" s="73" t="s">
        <v>719</v>
      </c>
      <c r="H85" s="73" t="s">
        <v>680</v>
      </c>
      <c r="I85" s="73" t="s">
        <v>160</v>
      </c>
      <c r="J85" s="73" t="s">
        <v>720</v>
      </c>
      <c r="K85" s="65"/>
      <c r="L85" s="114"/>
      <c r="M85" s="114"/>
      <c r="N85" s="114"/>
      <c r="O85" s="114"/>
      <c r="P85" s="114"/>
      <c r="Q85" s="65"/>
      <c r="R85" s="65"/>
      <c r="S85" s="65"/>
      <c r="T85" s="65"/>
      <c r="U85" s="65"/>
      <c r="V85" s="65"/>
      <c r="W85" s="65"/>
      <c r="X85" s="65"/>
      <c r="Y85" s="65"/>
      <c r="Z85" s="65"/>
    </row>
    <row r="86">
      <c r="A86" s="77">
        <v>17.0</v>
      </c>
      <c r="B86" s="73" t="s">
        <v>721</v>
      </c>
      <c r="C86" s="73" t="s">
        <v>107</v>
      </c>
      <c r="D86" s="73" t="s">
        <v>722</v>
      </c>
      <c r="E86" s="73" t="s">
        <v>437</v>
      </c>
      <c r="F86" s="73" t="s">
        <v>723</v>
      </c>
      <c r="G86" s="73" t="s">
        <v>724</v>
      </c>
      <c r="H86" s="73" t="s">
        <v>680</v>
      </c>
      <c r="I86" s="73" t="s">
        <v>160</v>
      </c>
      <c r="J86" s="73" t="s">
        <v>725</v>
      </c>
      <c r="K86" s="65"/>
      <c r="L86" s="114"/>
      <c r="M86" s="114"/>
      <c r="N86" s="114"/>
      <c r="O86" s="114"/>
      <c r="P86" s="114"/>
      <c r="Q86" s="65"/>
      <c r="R86" s="65"/>
      <c r="S86" s="65"/>
      <c r="T86" s="65"/>
      <c r="U86" s="65"/>
      <c r="V86" s="65"/>
      <c r="W86" s="65"/>
      <c r="X86" s="65"/>
      <c r="Y86" s="65"/>
      <c r="Z86" s="65"/>
    </row>
    <row r="87">
      <c r="A87" s="77">
        <v>18.0</v>
      </c>
      <c r="B87" s="12" t="s">
        <v>423</v>
      </c>
      <c r="C87" s="73" t="s">
        <v>107</v>
      </c>
      <c r="D87" s="73"/>
      <c r="E87" s="73" t="s">
        <v>726</v>
      </c>
      <c r="F87" s="73" t="s">
        <v>727</v>
      </c>
      <c r="G87" s="73"/>
      <c r="H87" s="73" t="s">
        <v>728</v>
      </c>
      <c r="I87" s="12" t="s">
        <v>160</v>
      </c>
      <c r="J87" s="82" t="s">
        <v>729</v>
      </c>
      <c r="K87" s="65"/>
      <c r="L87" s="114"/>
      <c r="M87" s="114"/>
      <c r="N87" s="114"/>
      <c r="O87" s="114"/>
      <c r="P87" s="114"/>
      <c r="Q87" s="65"/>
      <c r="R87" s="65"/>
      <c r="S87" s="65"/>
      <c r="T87" s="65"/>
      <c r="U87" s="65"/>
      <c r="V87" s="65"/>
      <c r="W87" s="65"/>
      <c r="X87" s="65"/>
      <c r="Y87" s="65"/>
      <c r="Z87" s="65"/>
    </row>
    <row r="88">
      <c r="A88" s="129">
        <v>19.0</v>
      </c>
      <c r="B88" s="12" t="s">
        <v>730</v>
      </c>
      <c r="C88" s="73" t="s">
        <v>408</v>
      </c>
      <c r="D88" s="73" t="s">
        <v>731</v>
      </c>
      <c r="E88" s="73" t="s">
        <v>437</v>
      </c>
      <c r="F88" s="73" t="s">
        <v>732</v>
      </c>
      <c r="G88" s="73" t="s">
        <v>733</v>
      </c>
      <c r="H88" s="73" t="s">
        <v>494</v>
      </c>
      <c r="I88" s="12" t="s">
        <v>160</v>
      </c>
      <c r="J88" s="82"/>
      <c r="K88" s="65"/>
      <c r="M88" s="65"/>
      <c r="N88" s="65"/>
      <c r="O88" s="65"/>
      <c r="P88" s="65"/>
      <c r="Q88" s="65"/>
      <c r="R88" s="65"/>
      <c r="S88" s="65"/>
      <c r="T88" s="65"/>
      <c r="U88" s="65"/>
      <c r="V88" s="65"/>
      <c r="W88" s="65"/>
      <c r="X88" s="65"/>
      <c r="Y88" s="65"/>
      <c r="Z88" s="65"/>
    </row>
    <row r="89">
      <c r="A89" s="77">
        <v>20.0</v>
      </c>
      <c r="B89" s="73" t="s">
        <v>734</v>
      </c>
      <c r="C89" s="73" t="s">
        <v>408</v>
      </c>
      <c r="D89" s="73" t="s">
        <v>735</v>
      </c>
      <c r="E89" s="73" t="s">
        <v>437</v>
      </c>
      <c r="F89" s="130" t="s">
        <v>736</v>
      </c>
      <c r="H89" s="73" t="s">
        <v>210</v>
      </c>
      <c r="I89" s="73" t="s">
        <v>210</v>
      </c>
      <c r="J89" s="73" t="s">
        <v>737</v>
      </c>
      <c r="K89" s="65"/>
      <c r="L89" s="114"/>
      <c r="M89" s="114"/>
      <c r="N89" s="114"/>
      <c r="O89" s="114"/>
      <c r="P89" s="114"/>
      <c r="Q89" s="65"/>
      <c r="R89" s="65"/>
      <c r="S89" s="65"/>
      <c r="T89" s="65"/>
      <c r="U89" s="65"/>
      <c r="V89" s="65"/>
      <c r="W89" s="65"/>
      <c r="X89" s="65"/>
      <c r="Y89" s="65"/>
      <c r="Z89" s="65"/>
    </row>
    <row r="90">
      <c r="A90" s="77">
        <v>21.0</v>
      </c>
      <c r="B90" s="73" t="s">
        <v>106</v>
      </c>
      <c r="C90" s="73" t="s">
        <v>186</v>
      </c>
      <c r="D90" s="73" t="s">
        <v>738</v>
      </c>
      <c r="E90" s="73" t="s">
        <v>437</v>
      </c>
      <c r="F90" s="73" t="s">
        <v>739</v>
      </c>
      <c r="G90" s="73"/>
      <c r="H90" s="73" t="s">
        <v>740</v>
      </c>
      <c r="I90" s="73" t="s">
        <v>741</v>
      </c>
      <c r="J90" s="73" t="s">
        <v>742</v>
      </c>
      <c r="K90" s="65"/>
      <c r="L90" s="114"/>
      <c r="M90" s="114"/>
      <c r="N90" s="114"/>
      <c r="O90" s="114"/>
      <c r="P90" s="114"/>
      <c r="Q90" s="65"/>
      <c r="R90" s="65"/>
      <c r="S90" s="65"/>
      <c r="T90" s="65"/>
      <c r="U90" s="65"/>
      <c r="V90" s="65"/>
      <c r="W90" s="65"/>
      <c r="X90" s="65"/>
      <c r="Y90" s="65"/>
      <c r="Z90" s="65"/>
    </row>
    <row r="91">
      <c r="A91" s="129">
        <v>22.0</v>
      </c>
      <c r="B91" s="73" t="s">
        <v>640</v>
      </c>
      <c r="C91" s="73" t="s">
        <v>107</v>
      </c>
      <c r="D91" s="73" t="s">
        <v>387</v>
      </c>
      <c r="E91" s="73" t="s">
        <v>437</v>
      </c>
      <c r="F91" s="73" t="s">
        <v>743</v>
      </c>
      <c r="G91" s="73" t="s">
        <v>744</v>
      </c>
      <c r="H91" s="73" t="s">
        <v>494</v>
      </c>
      <c r="I91" s="12" t="s">
        <v>160</v>
      </c>
      <c r="J91" s="73" t="s">
        <v>745</v>
      </c>
      <c r="K91" s="65"/>
      <c r="L91" s="114"/>
      <c r="M91" s="114"/>
      <c r="N91" s="114"/>
      <c r="O91" s="114"/>
      <c r="P91" s="114"/>
      <c r="Q91" s="65"/>
      <c r="R91" s="65"/>
      <c r="S91" s="65"/>
      <c r="T91" s="65"/>
      <c r="U91" s="65"/>
      <c r="V91" s="65"/>
      <c r="W91" s="65"/>
      <c r="X91" s="65"/>
      <c r="Y91" s="65"/>
      <c r="Z91" s="65"/>
    </row>
    <row r="92">
      <c r="A92" s="77">
        <v>23.0</v>
      </c>
      <c r="B92" s="73" t="s">
        <v>510</v>
      </c>
      <c r="C92" s="73" t="s">
        <v>746</v>
      </c>
      <c r="D92" s="73" t="s">
        <v>747</v>
      </c>
      <c r="E92" s="73" t="s">
        <v>437</v>
      </c>
      <c r="F92" s="73" t="s">
        <v>748</v>
      </c>
      <c r="G92" s="73" t="s">
        <v>749</v>
      </c>
      <c r="H92" s="73" t="s">
        <v>750</v>
      </c>
      <c r="I92" s="73" t="s">
        <v>70</v>
      </c>
      <c r="J92" s="73" t="s">
        <v>751</v>
      </c>
      <c r="K92" s="65"/>
      <c r="L92" s="114"/>
      <c r="M92" s="114"/>
      <c r="N92" s="114"/>
      <c r="O92" s="114"/>
      <c r="P92" s="114"/>
      <c r="Q92" s="65"/>
      <c r="R92" s="65"/>
      <c r="S92" s="65"/>
      <c r="T92" s="65"/>
      <c r="U92" s="65"/>
      <c r="V92" s="65"/>
      <c r="W92" s="65"/>
      <c r="X92" s="65"/>
      <c r="Y92" s="65"/>
      <c r="Z92" s="65"/>
    </row>
    <row r="93">
      <c r="A93" s="77">
        <v>24.0</v>
      </c>
      <c r="B93" s="73" t="s">
        <v>752</v>
      </c>
      <c r="C93" s="73" t="s">
        <v>408</v>
      </c>
      <c r="D93" s="73" t="s">
        <v>753</v>
      </c>
      <c r="E93" s="73" t="s">
        <v>437</v>
      </c>
      <c r="F93" s="73" t="s">
        <v>754</v>
      </c>
      <c r="G93" s="73" t="s">
        <v>755</v>
      </c>
      <c r="H93" s="73" t="s">
        <v>210</v>
      </c>
      <c r="I93" s="73" t="s">
        <v>210</v>
      </c>
      <c r="J93" s="73" t="s">
        <v>756</v>
      </c>
      <c r="K93" s="65"/>
      <c r="L93" s="114"/>
      <c r="M93" s="114"/>
      <c r="N93" s="114"/>
      <c r="O93" s="114"/>
      <c r="P93" s="114"/>
      <c r="Q93" s="65"/>
      <c r="R93" s="65"/>
      <c r="S93" s="65"/>
      <c r="T93" s="65"/>
      <c r="U93" s="65"/>
      <c r="V93" s="65"/>
      <c r="W93" s="65"/>
      <c r="X93" s="65"/>
      <c r="Y93" s="65"/>
      <c r="Z93" s="65"/>
    </row>
    <row r="94">
      <c r="A94" s="77">
        <v>25.0</v>
      </c>
      <c r="B94" s="73" t="s">
        <v>757</v>
      </c>
      <c r="C94" s="73" t="s">
        <v>328</v>
      </c>
      <c r="D94" s="73" t="s">
        <v>758</v>
      </c>
      <c r="E94" s="73" t="s">
        <v>437</v>
      </c>
      <c r="F94" s="73" t="s">
        <v>759</v>
      </c>
      <c r="G94" s="78"/>
      <c r="H94" s="73" t="s">
        <v>760</v>
      </c>
      <c r="I94" s="73" t="s">
        <v>761</v>
      </c>
      <c r="J94" s="73" t="s">
        <v>762</v>
      </c>
      <c r="K94" s="65"/>
      <c r="L94" s="114"/>
      <c r="M94" s="114"/>
      <c r="N94" s="114"/>
      <c r="O94" s="114"/>
      <c r="P94" s="114"/>
      <c r="Q94" s="65"/>
      <c r="R94" s="65"/>
      <c r="S94" s="65"/>
      <c r="T94" s="65"/>
      <c r="U94" s="65"/>
      <c r="V94" s="65"/>
      <c r="W94" s="65"/>
      <c r="X94" s="65"/>
      <c r="Y94" s="65"/>
      <c r="Z94" s="65"/>
    </row>
    <row r="95">
      <c r="A95" s="77">
        <v>26.0</v>
      </c>
      <c r="B95" s="73" t="s">
        <v>763</v>
      </c>
      <c r="C95" s="73" t="s">
        <v>107</v>
      </c>
      <c r="D95" s="73" t="s">
        <v>764</v>
      </c>
      <c r="E95" s="73" t="s">
        <v>543</v>
      </c>
      <c r="F95" s="73" t="s">
        <v>765</v>
      </c>
      <c r="G95" s="73" t="s">
        <v>766</v>
      </c>
      <c r="H95" s="73" t="s">
        <v>750</v>
      </c>
      <c r="I95" s="73" t="s">
        <v>767</v>
      </c>
      <c r="J95" s="73" t="s">
        <v>768</v>
      </c>
      <c r="K95" s="65"/>
      <c r="L95" s="114"/>
      <c r="M95" s="114"/>
      <c r="N95" s="114"/>
      <c r="O95" s="114"/>
      <c r="P95" s="114"/>
      <c r="Q95" s="65"/>
      <c r="R95" s="65"/>
      <c r="S95" s="65"/>
      <c r="T95" s="65"/>
      <c r="U95" s="65"/>
      <c r="V95" s="65"/>
      <c r="W95" s="65"/>
      <c r="X95" s="65"/>
      <c r="Y95" s="65"/>
      <c r="Z95" s="65"/>
    </row>
    <row r="96">
      <c r="A96" s="128">
        <v>27.0</v>
      </c>
      <c r="B96" s="125" t="s">
        <v>459</v>
      </c>
      <c r="C96" s="125" t="s">
        <v>328</v>
      </c>
      <c r="D96" s="125" t="s">
        <v>769</v>
      </c>
      <c r="E96" s="125" t="s">
        <v>437</v>
      </c>
      <c r="F96" s="125" t="s">
        <v>770</v>
      </c>
      <c r="G96" s="125"/>
      <c r="H96" s="125" t="s">
        <v>463</v>
      </c>
      <c r="I96" s="125" t="s">
        <v>125</v>
      </c>
      <c r="J96" s="125" t="s">
        <v>771</v>
      </c>
      <c r="K96" s="65"/>
      <c r="L96" s="114"/>
      <c r="M96" s="114"/>
      <c r="N96" s="114"/>
      <c r="O96" s="114"/>
      <c r="P96" s="114"/>
      <c r="Q96" s="65"/>
      <c r="R96" s="65"/>
      <c r="S96" s="65"/>
      <c r="T96" s="65"/>
      <c r="U96" s="65"/>
      <c r="V96" s="65"/>
      <c r="W96" s="65"/>
      <c r="X96" s="65"/>
      <c r="Y96" s="65"/>
      <c r="Z96" s="65"/>
    </row>
    <row r="97">
      <c r="A97" s="77">
        <v>28.0</v>
      </c>
      <c r="B97" s="73" t="s">
        <v>296</v>
      </c>
      <c r="C97" s="73" t="s">
        <v>357</v>
      </c>
      <c r="D97" s="73" t="s">
        <v>772</v>
      </c>
      <c r="E97" s="73" t="s">
        <v>437</v>
      </c>
      <c r="F97" s="73" t="s">
        <v>773</v>
      </c>
      <c r="G97" s="73" t="s">
        <v>774</v>
      </c>
      <c r="H97" s="73" t="s">
        <v>480</v>
      </c>
      <c r="I97" s="73" t="s">
        <v>125</v>
      </c>
      <c r="J97" s="73" t="s">
        <v>775</v>
      </c>
      <c r="K97" s="65"/>
      <c r="L97" s="114"/>
      <c r="M97" s="114"/>
      <c r="N97" s="114"/>
      <c r="O97" s="114"/>
      <c r="P97" s="114"/>
      <c r="Q97" s="65"/>
      <c r="R97" s="65"/>
      <c r="S97" s="65"/>
      <c r="T97" s="65"/>
      <c r="U97" s="65"/>
      <c r="V97" s="65"/>
      <c r="W97" s="65"/>
      <c r="X97" s="65"/>
      <c r="Y97" s="65"/>
      <c r="Z97" s="65"/>
    </row>
    <row r="98">
      <c r="A98" s="77">
        <v>29.0</v>
      </c>
      <c r="B98" s="87" t="s">
        <v>546</v>
      </c>
      <c r="C98" s="73" t="s">
        <v>328</v>
      </c>
      <c r="D98" s="73" t="s">
        <v>547</v>
      </c>
      <c r="E98" s="73" t="s">
        <v>543</v>
      </c>
      <c r="F98" s="73" t="s">
        <v>776</v>
      </c>
      <c r="G98" s="78"/>
      <c r="H98" s="73" t="s">
        <v>549</v>
      </c>
      <c r="I98" s="73" t="s">
        <v>125</v>
      </c>
      <c r="J98" s="73" t="s">
        <v>777</v>
      </c>
      <c r="K98" s="65"/>
      <c r="L98" s="65"/>
      <c r="M98" s="65"/>
      <c r="N98" s="65"/>
      <c r="O98" s="65"/>
      <c r="P98" s="65"/>
      <c r="Q98" s="65"/>
      <c r="R98" s="65"/>
      <c r="S98" s="65"/>
      <c r="T98" s="65"/>
      <c r="U98" s="65"/>
      <c r="V98" s="65"/>
      <c r="W98" s="65"/>
      <c r="X98" s="65"/>
      <c r="Y98" s="65"/>
      <c r="Z98" s="65"/>
    </row>
    <row r="99">
      <c r="A99" s="77">
        <v>30.0</v>
      </c>
      <c r="B99" s="73" t="s">
        <v>778</v>
      </c>
      <c r="C99" s="73" t="s">
        <v>328</v>
      </c>
      <c r="D99" s="73" t="s">
        <v>779</v>
      </c>
      <c r="E99" s="73" t="s">
        <v>543</v>
      </c>
      <c r="F99" s="73" t="s">
        <v>780</v>
      </c>
      <c r="G99" s="78"/>
      <c r="H99" s="73" t="s">
        <v>549</v>
      </c>
      <c r="I99" s="73" t="s">
        <v>125</v>
      </c>
      <c r="J99" s="73" t="s">
        <v>530</v>
      </c>
      <c r="K99" s="65"/>
      <c r="L99" s="114"/>
      <c r="M99" s="114"/>
      <c r="N99" s="114"/>
      <c r="O99" s="114"/>
      <c r="P99" s="114"/>
      <c r="Q99" s="65"/>
      <c r="R99" s="65"/>
      <c r="S99" s="65"/>
      <c r="T99" s="65"/>
      <c r="U99" s="65"/>
      <c r="V99" s="65"/>
      <c r="W99" s="65"/>
      <c r="X99" s="65"/>
      <c r="Y99" s="65"/>
      <c r="Z99" s="65"/>
    </row>
    <row r="100">
      <c r="A100" s="77">
        <v>31.0</v>
      </c>
      <c r="B100" s="73" t="s">
        <v>781</v>
      </c>
      <c r="C100" s="73" t="s">
        <v>328</v>
      </c>
      <c r="D100" s="73" t="s">
        <v>782</v>
      </c>
      <c r="E100" s="73" t="s">
        <v>543</v>
      </c>
      <c r="F100" s="73" t="s">
        <v>783</v>
      </c>
      <c r="G100" s="78"/>
      <c r="H100" s="73" t="s">
        <v>549</v>
      </c>
      <c r="I100" s="73" t="s">
        <v>125</v>
      </c>
      <c r="J100" s="73" t="s">
        <v>784</v>
      </c>
      <c r="K100" s="65"/>
      <c r="L100" s="114"/>
      <c r="M100" s="114"/>
      <c r="N100" s="114"/>
      <c r="O100" s="114"/>
      <c r="P100" s="114"/>
      <c r="Q100" s="65"/>
      <c r="R100" s="65"/>
      <c r="S100" s="65"/>
      <c r="T100" s="65"/>
      <c r="U100" s="65"/>
      <c r="V100" s="65"/>
      <c r="W100" s="65"/>
      <c r="X100" s="65"/>
      <c r="Y100" s="65"/>
      <c r="Z100" s="65"/>
    </row>
    <row r="101">
      <c r="A101" s="77">
        <v>32.0</v>
      </c>
      <c r="B101" s="73" t="s">
        <v>785</v>
      </c>
      <c r="C101" s="73" t="s">
        <v>328</v>
      </c>
      <c r="D101" s="73" t="s">
        <v>786</v>
      </c>
      <c r="E101" s="73" t="s">
        <v>543</v>
      </c>
      <c r="F101" s="73" t="s">
        <v>787</v>
      </c>
      <c r="G101" s="73" t="s">
        <v>788</v>
      </c>
      <c r="H101" s="73" t="s">
        <v>529</v>
      </c>
      <c r="I101" s="73" t="s">
        <v>42</v>
      </c>
      <c r="J101" s="73" t="s">
        <v>789</v>
      </c>
      <c r="K101" s="65"/>
      <c r="L101" s="114"/>
      <c r="M101" s="114"/>
      <c r="N101" s="114"/>
      <c r="O101" s="114"/>
      <c r="P101" s="114"/>
      <c r="Q101" s="65"/>
      <c r="R101" s="65"/>
      <c r="S101" s="65"/>
      <c r="T101" s="65"/>
      <c r="U101" s="65"/>
      <c r="V101" s="65"/>
      <c r="W101" s="65"/>
      <c r="X101" s="65"/>
      <c r="Y101" s="65"/>
      <c r="Z101" s="65"/>
    </row>
    <row r="102">
      <c r="A102" s="77">
        <v>33.0</v>
      </c>
      <c r="B102" s="73" t="s">
        <v>790</v>
      </c>
      <c r="C102" s="73" t="s">
        <v>328</v>
      </c>
      <c r="D102" s="73" t="s">
        <v>791</v>
      </c>
      <c r="E102" s="73" t="s">
        <v>543</v>
      </c>
      <c r="F102" s="73" t="s">
        <v>792</v>
      </c>
      <c r="G102" s="73" t="s">
        <v>793</v>
      </c>
      <c r="H102" s="73" t="s">
        <v>529</v>
      </c>
      <c r="I102" s="73" t="s">
        <v>125</v>
      </c>
      <c r="J102" s="73" t="s">
        <v>794</v>
      </c>
      <c r="K102" s="65"/>
      <c r="L102" s="114"/>
      <c r="M102" s="114"/>
      <c r="N102" s="114"/>
      <c r="O102" s="114"/>
      <c r="P102" s="114"/>
      <c r="Q102" s="65"/>
      <c r="R102" s="65"/>
      <c r="S102" s="65"/>
      <c r="T102" s="65"/>
      <c r="U102" s="65"/>
      <c r="V102" s="65"/>
      <c r="W102" s="65"/>
      <c r="X102" s="65"/>
      <c r="Y102" s="65"/>
      <c r="Z102" s="65"/>
    </row>
    <row r="103">
      <c r="A103" s="77">
        <v>34.0</v>
      </c>
      <c r="B103" s="73" t="s">
        <v>795</v>
      </c>
      <c r="C103" s="73" t="s">
        <v>328</v>
      </c>
      <c r="D103" s="73" t="s">
        <v>796</v>
      </c>
      <c r="E103" s="73" t="s">
        <v>797</v>
      </c>
      <c r="F103" s="73" t="s">
        <v>798</v>
      </c>
      <c r="G103" s="78"/>
      <c r="H103" s="73" t="s">
        <v>799</v>
      </c>
      <c r="I103" s="73" t="s">
        <v>125</v>
      </c>
      <c r="J103" s="73" t="s">
        <v>800</v>
      </c>
      <c r="K103" s="65"/>
      <c r="L103" s="114"/>
      <c r="M103" s="114"/>
      <c r="N103" s="114"/>
      <c r="O103" s="114"/>
      <c r="P103" s="114"/>
      <c r="Q103" s="65"/>
      <c r="R103" s="65"/>
      <c r="S103" s="65"/>
      <c r="T103" s="65"/>
      <c r="U103" s="65"/>
      <c r="V103" s="65"/>
      <c r="W103" s="65"/>
      <c r="X103" s="65"/>
      <c r="Y103" s="65"/>
      <c r="Z103" s="65"/>
    </row>
    <row r="104">
      <c r="A104" s="77">
        <v>35.0</v>
      </c>
      <c r="B104" s="73" t="s">
        <v>801</v>
      </c>
      <c r="C104" s="73" t="s">
        <v>107</v>
      </c>
      <c r="D104" s="73" t="s">
        <v>802</v>
      </c>
      <c r="E104" s="73" t="s">
        <v>803</v>
      </c>
      <c r="F104" s="73" t="s">
        <v>804</v>
      </c>
      <c r="G104" s="80" t="s">
        <v>805</v>
      </c>
      <c r="H104" s="73" t="s">
        <v>210</v>
      </c>
      <c r="I104" s="73" t="s">
        <v>70</v>
      </c>
      <c r="J104" s="73" t="s">
        <v>806</v>
      </c>
      <c r="K104" s="65"/>
      <c r="L104" s="114"/>
      <c r="M104" s="114"/>
      <c r="N104" s="114"/>
      <c r="O104" s="114"/>
      <c r="P104" s="114"/>
      <c r="Q104" s="65"/>
      <c r="R104" s="65"/>
      <c r="S104" s="65"/>
      <c r="T104" s="65"/>
      <c r="U104" s="65"/>
      <c r="V104" s="65"/>
      <c r="W104" s="65"/>
      <c r="X104" s="65"/>
      <c r="Y104" s="65"/>
      <c r="Z104" s="65"/>
    </row>
    <row r="105">
      <c r="A105" s="77">
        <v>36.0</v>
      </c>
      <c r="B105" s="73" t="s">
        <v>807</v>
      </c>
      <c r="C105" s="73" t="s">
        <v>328</v>
      </c>
      <c r="D105" s="73" t="s">
        <v>808</v>
      </c>
      <c r="E105" s="73" t="s">
        <v>543</v>
      </c>
      <c r="F105" s="73" t="s">
        <v>809</v>
      </c>
      <c r="G105" s="78"/>
      <c r="H105" s="73" t="s">
        <v>810</v>
      </c>
      <c r="I105" s="73" t="s">
        <v>418</v>
      </c>
      <c r="J105" s="73" t="s">
        <v>811</v>
      </c>
      <c r="K105" s="65"/>
      <c r="L105" s="114"/>
      <c r="M105" s="114"/>
      <c r="N105" s="114"/>
      <c r="O105" s="114"/>
      <c r="P105" s="114"/>
      <c r="Q105" s="65"/>
      <c r="R105" s="65"/>
      <c r="S105" s="65"/>
      <c r="T105" s="65"/>
      <c r="U105" s="65"/>
      <c r="V105" s="65"/>
      <c r="W105" s="65"/>
      <c r="X105" s="65"/>
      <c r="Y105" s="65"/>
      <c r="Z105" s="65"/>
    </row>
    <row r="106">
      <c r="A106" s="77">
        <v>37.0</v>
      </c>
      <c r="B106" s="73" t="s">
        <v>812</v>
      </c>
      <c r="C106" s="73" t="s">
        <v>328</v>
      </c>
      <c r="D106" s="78"/>
      <c r="E106" s="78"/>
      <c r="F106" s="73" t="s">
        <v>813</v>
      </c>
      <c r="G106" s="73" t="s">
        <v>814</v>
      </c>
      <c r="H106" s="73" t="s">
        <v>366</v>
      </c>
      <c r="I106" s="73" t="s">
        <v>361</v>
      </c>
      <c r="J106" s="73" t="s">
        <v>815</v>
      </c>
      <c r="K106" s="65"/>
      <c r="L106" s="65"/>
      <c r="M106" s="65"/>
      <c r="N106" s="65"/>
      <c r="O106" s="65"/>
      <c r="P106" s="65"/>
      <c r="Q106" s="65"/>
      <c r="R106" s="65"/>
      <c r="S106" s="65"/>
      <c r="T106" s="65"/>
      <c r="U106" s="65"/>
      <c r="V106" s="65"/>
      <c r="W106" s="65"/>
      <c r="X106" s="65"/>
      <c r="Y106" s="65"/>
      <c r="Z106" s="65"/>
    </row>
    <row r="107">
      <c r="A107" s="77">
        <v>38.0</v>
      </c>
      <c r="B107" s="73" t="s">
        <v>816</v>
      </c>
      <c r="C107" s="73" t="s">
        <v>328</v>
      </c>
      <c r="D107" s="73" t="s">
        <v>817</v>
      </c>
      <c r="E107" s="73" t="s">
        <v>437</v>
      </c>
      <c r="F107" s="73" t="s">
        <v>818</v>
      </c>
      <c r="G107" s="78"/>
      <c r="H107" s="73" t="s">
        <v>366</v>
      </c>
      <c r="I107" s="73" t="s">
        <v>361</v>
      </c>
      <c r="J107" s="73" t="s">
        <v>819</v>
      </c>
      <c r="K107" s="65"/>
      <c r="L107" s="65"/>
      <c r="M107" s="65"/>
      <c r="N107" s="65"/>
      <c r="O107" s="65"/>
      <c r="P107" s="65"/>
      <c r="Q107" s="65"/>
      <c r="R107" s="65"/>
      <c r="S107" s="65"/>
      <c r="T107" s="65"/>
      <c r="U107" s="65"/>
      <c r="V107" s="65"/>
      <c r="W107" s="65"/>
      <c r="X107" s="65"/>
      <c r="Y107" s="65"/>
      <c r="Z107" s="65"/>
    </row>
    <row r="108">
      <c r="A108" s="77">
        <v>39.0</v>
      </c>
      <c r="B108" s="73" t="s">
        <v>551</v>
      </c>
      <c r="C108" s="73" t="s">
        <v>328</v>
      </c>
      <c r="D108" s="73" t="s">
        <v>817</v>
      </c>
      <c r="E108" s="73" t="s">
        <v>437</v>
      </c>
      <c r="F108" s="73" t="s">
        <v>820</v>
      </c>
      <c r="G108" s="78"/>
      <c r="H108" s="73" t="s">
        <v>291</v>
      </c>
      <c r="I108" s="73" t="s">
        <v>361</v>
      </c>
      <c r="J108" s="73" t="s">
        <v>821</v>
      </c>
      <c r="K108" s="65"/>
      <c r="L108" s="65"/>
      <c r="M108" s="65"/>
      <c r="N108" s="65"/>
      <c r="O108" s="65"/>
      <c r="P108" s="65"/>
      <c r="Q108" s="65"/>
      <c r="R108" s="65"/>
      <c r="S108" s="65"/>
      <c r="T108" s="65"/>
      <c r="U108" s="65"/>
      <c r="V108" s="65"/>
      <c r="W108" s="65"/>
      <c r="X108" s="65"/>
      <c r="Y108" s="65"/>
      <c r="Z108" s="65"/>
    </row>
    <row r="109">
      <c r="A109" s="99"/>
      <c r="B109" s="111" t="s">
        <v>822</v>
      </c>
      <c r="C109" s="102"/>
      <c r="D109" s="102"/>
      <c r="E109" s="102"/>
      <c r="F109" s="102"/>
      <c r="G109" s="102"/>
      <c r="H109" s="102"/>
      <c r="I109" s="102"/>
      <c r="J109" s="56"/>
      <c r="K109" s="113" t="s">
        <v>823</v>
      </c>
      <c r="L109" s="113" t="s">
        <v>560</v>
      </c>
      <c r="M109" s="113" t="s">
        <v>561</v>
      </c>
      <c r="N109" s="113" t="s">
        <v>562</v>
      </c>
      <c r="O109" s="113" t="s">
        <v>563</v>
      </c>
      <c r="P109" s="113" t="s">
        <v>564</v>
      </c>
      <c r="Q109" s="88"/>
      <c r="R109" s="88"/>
      <c r="S109" s="88"/>
      <c r="T109" s="88"/>
      <c r="U109" s="88"/>
      <c r="V109" s="88"/>
      <c r="W109" s="88"/>
      <c r="X109" s="88"/>
      <c r="Y109" s="88"/>
      <c r="Z109" s="88"/>
    </row>
    <row r="110">
      <c r="A110" s="104"/>
      <c r="B110" s="105" t="s">
        <v>565</v>
      </c>
      <c r="C110" s="106" t="s">
        <v>824</v>
      </c>
      <c r="D110" s="102"/>
      <c r="E110" s="102"/>
      <c r="F110" s="102"/>
      <c r="G110" s="102"/>
      <c r="H110" s="102"/>
      <c r="I110" s="102"/>
      <c r="J110" s="56"/>
      <c r="K110" s="131" t="s">
        <v>567</v>
      </c>
      <c r="L110" s="132"/>
      <c r="M110" s="132">
        <v>0.0</v>
      </c>
      <c r="N110" s="132">
        <v>6.0</v>
      </c>
      <c r="O110" s="132">
        <v>1.0</v>
      </c>
      <c r="P110" s="132">
        <v>3.0</v>
      </c>
      <c r="Q110" s="88">
        <f t="shared" ref="Q110:Q113" si="1">SUM(L110:P110)</f>
        <v>10</v>
      </c>
      <c r="R110" s="88"/>
      <c r="S110" s="88"/>
      <c r="T110" s="88"/>
      <c r="U110" s="88"/>
      <c r="V110" s="88"/>
      <c r="W110" s="88"/>
      <c r="X110" s="88"/>
      <c r="Y110" s="88"/>
      <c r="Z110" s="88"/>
    </row>
    <row r="111">
      <c r="A111" s="104"/>
      <c r="B111" s="105" t="s">
        <v>568</v>
      </c>
      <c r="C111" s="106" t="s">
        <v>825</v>
      </c>
      <c r="D111" s="102"/>
      <c r="E111" s="102"/>
      <c r="F111" s="102"/>
      <c r="G111" s="102"/>
      <c r="H111" s="102"/>
      <c r="I111" s="102"/>
      <c r="J111" s="56"/>
      <c r="K111" s="131" t="s">
        <v>570</v>
      </c>
      <c r="L111" s="132"/>
      <c r="M111" s="132">
        <v>2.0</v>
      </c>
      <c r="N111" s="132">
        <v>2.0</v>
      </c>
      <c r="O111" s="132"/>
      <c r="P111" s="133"/>
      <c r="Q111" s="88">
        <f t="shared" si="1"/>
        <v>4</v>
      </c>
      <c r="R111" s="88"/>
      <c r="S111" s="88"/>
      <c r="T111" s="88"/>
      <c r="U111" s="88"/>
      <c r="V111" s="88"/>
      <c r="W111" s="88"/>
      <c r="X111" s="88"/>
      <c r="Y111" s="88"/>
      <c r="Z111" s="88"/>
    </row>
    <row r="112">
      <c r="A112" s="104"/>
      <c r="B112" s="105" t="s">
        <v>571</v>
      </c>
      <c r="C112" s="106" t="s">
        <v>826</v>
      </c>
      <c r="D112" s="102"/>
      <c r="E112" s="102"/>
      <c r="F112" s="102"/>
      <c r="G112" s="102"/>
      <c r="H112" s="102"/>
      <c r="I112" s="102"/>
      <c r="J112" s="56"/>
      <c r="K112" s="134" t="s">
        <v>573</v>
      </c>
      <c r="L112" s="132"/>
      <c r="M112" s="132">
        <v>3.0</v>
      </c>
      <c r="N112" s="132">
        <v>9.0</v>
      </c>
      <c r="O112" s="132">
        <v>4.0</v>
      </c>
      <c r="P112" s="133"/>
      <c r="Q112" s="88">
        <f t="shared" si="1"/>
        <v>16</v>
      </c>
      <c r="R112" s="88"/>
      <c r="S112" s="88"/>
      <c r="T112" s="88"/>
      <c r="U112" s="88"/>
      <c r="V112" s="88"/>
      <c r="W112" s="88"/>
      <c r="X112" s="88"/>
      <c r="Y112" s="88"/>
      <c r="Z112" s="88"/>
    </row>
    <row r="113">
      <c r="A113" s="104"/>
      <c r="B113" s="105" t="s">
        <v>574</v>
      </c>
      <c r="C113" s="106" t="s">
        <v>827</v>
      </c>
      <c r="D113" s="102"/>
      <c r="E113" s="102"/>
      <c r="F113" s="102"/>
      <c r="G113" s="102"/>
      <c r="H113" s="102"/>
      <c r="I113" s="102"/>
      <c r="J113" s="56"/>
      <c r="K113" s="134" t="s">
        <v>576</v>
      </c>
      <c r="L113" s="133"/>
      <c r="M113" s="132">
        <v>0.0</v>
      </c>
      <c r="N113" s="133"/>
      <c r="O113" s="132">
        <v>9.0</v>
      </c>
      <c r="P113" s="132"/>
      <c r="Q113" s="88">
        <f t="shared" si="1"/>
        <v>9</v>
      </c>
      <c r="R113" s="88"/>
      <c r="S113" s="88"/>
      <c r="T113" s="88"/>
      <c r="U113" s="88"/>
      <c r="V113" s="88"/>
      <c r="W113" s="88"/>
      <c r="X113" s="88"/>
      <c r="Y113" s="88"/>
      <c r="Z113" s="88"/>
    </row>
    <row r="114">
      <c r="A114" s="104"/>
      <c r="B114" s="105" t="s">
        <v>577</v>
      </c>
      <c r="C114" s="106" t="s">
        <v>828</v>
      </c>
      <c r="D114" s="102"/>
      <c r="E114" s="102"/>
      <c r="F114" s="102"/>
      <c r="G114" s="102"/>
      <c r="H114" s="102"/>
      <c r="I114" s="102"/>
      <c r="J114" s="56"/>
      <c r="K114" s="135"/>
      <c r="L114" s="135"/>
      <c r="M114" s="135"/>
      <c r="N114" s="135"/>
      <c r="O114" s="135"/>
      <c r="P114" s="135"/>
      <c r="Q114" s="88"/>
      <c r="R114" s="88"/>
      <c r="S114" s="88"/>
      <c r="T114" s="88"/>
      <c r="U114" s="88"/>
      <c r="V114" s="88"/>
      <c r="W114" s="88"/>
      <c r="X114" s="88"/>
      <c r="Y114" s="88"/>
      <c r="Z114" s="88"/>
    </row>
    <row r="115">
      <c r="A115" s="104"/>
      <c r="B115" s="105" t="s">
        <v>579</v>
      </c>
      <c r="C115" s="106" t="s">
        <v>829</v>
      </c>
      <c r="D115" s="102"/>
      <c r="E115" s="102"/>
      <c r="F115" s="102"/>
      <c r="G115" s="102"/>
      <c r="H115" s="102"/>
      <c r="I115" s="102"/>
      <c r="J115" s="56"/>
      <c r="K115" s="135"/>
      <c r="L115" s="135"/>
      <c r="M115" s="135"/>
      <c r="N115" s="135"/>
      <c r="O115" s="135"/>
      <c r="P115" s="135"/>
      <c r="Q115" s="136">
        <f>SUM(Q110:Q114)</f>
        <v>39</v>
      </c>
      <c r="R115" s="75" t="s">
        <v>830</v>
      </c>
      <c r="S115" s="88"/>
      <c r="T115" s="88"/>
      <c r="U115" s="88"/>
      <c r="V115" s="88"/>
      <c r="W115" s="88"/>
      <c r="X115" s="88"/>
      <c r="Y115" s="88"/>
      <c r="Z115" s="88"/>
    </row>
    <row r="116">
      <c r="A116" s="109"/>
      <c r="B116" s="65"/>
      <c r="C116" s="65"/>
      <c r="D116" s="65"/>
      <c r="E116" s="65"/>
      <c r="F116" s="137"/>
      <c r="G116" s="65"/>
      <c r="H116" s="65"/>
      <c r="I116" s="65"/>
      <c r="J116" s="65"/>
      <c r="K116" s="65"/>
      <c r="L116" s="65"/>
      <c r="M116" s="65"/>
      <c r="N116" s="65"/>
      <c r="O116" s="65"/>
      <c r="P116" s="65"/>
      <c r="Q116" s="65"/>
      <c r="R116" s="65"/>
      <c r="S116" s="65"/>
      <c r="T116" s="65"/>
      <c r="U116" s="65"/>
      <c r="V116" s="65"/>
      <c r="W116" s="65"/>
      <c r="X116" s="65"/>
      <c r="Y116" s="65"/>
      <c r="Z116" s="65"/>
    </row>
    <row r="117">
      <c r="A117" s="99"/>
      <c r="B117" s="111" t="s">
        <v>831</v>
      </c>
      <c r="C117" s="102"/>
      <c r="D117" s="102"/>
      <c r="E117" s="102"/>
      <c r="F117" s="102"/>
      <c r="G117" s="102"/>
      <c r="H117" s="102"/>
      <c r="I117" s="102"/>
      <c r="J117" s="56"/>
      <c r="K117" s="103"/>
      <c r="Q117" s="65"/>
      <c r="R117" s="65"/>
      <c r="S117" s="65"/>
      <c r="T117" s="65"/>
      <c r="U117" s="65"/>
      <c r="V117" s="65"/>
      <c r="W117" s="65"/>
      <c r="X117" s="65"/>
      <c r="Y117" s="65"/>
      <c r="Z117" s="65"/>
    </row>
    <row r="118">
      <c r="A118" s="112"/>
      <c r="B118" s="78"/>
      <c r="C118" s="28" t="s">
        <v>832</v>
      </c>
      <c r="D118" s="28" t="s">
        <v>833</v>
      </c>
      <c r="E118" s="28" t="s">
        <v>834</v>
      </c>
      <c r="F118" s="113" t="s">
        <v>584</v>
      </c>
      <c r="G118" s="113" t="s">
        <v>835</v>
      </c>
      <c r="H118" s="113" t="s">
        <v>836</v>
      </c>
      <c r="I118" s="113" t="s">
        <v>587</v>
      </c>
      <c r="J118" s="113" t="s">
        <v>588</v>
      </c>
      <c r="K118" s="86"/>
      <c r="Q118" s="65"/>
      <c r="R118" s="65"/>
      <c r="S118" s="65"/>
      <c r="T118" s="65"/>
      <c r="U118" s="65"/>
      <c r="V118" s="65"/>
      <c r="W118" s="65"/>
      <c r="X118" s="65"/>
      <c r="Y118" s="65"/>
      <c r="Z118" s="65"/>
    </row>
    <row r="119">
      <c r="A119" s="112"/>
      <c r="B119" s="78"/>
      <c r="C119" s="73" t="s">
        <v>837</v>
      </c>
      <c r="D119" s="73" t="s">
        <v>838</v>
      </c>
      <c r="E119" s="97" t="s">
        <v>591</v>
      </c>
      <c r="F119" s="97" t="s">
        <v>592</v>
      </c>
      <c r="G119" s="120" t="s">
        <v>593</v>
      </c>
      <c r="H119" s="96" t="s">
        <v>839</v>
      </c>
      <c r="I119" s="20" t="s">
        <v>840</v>
      </c>
      <c r="J119" s="20" t="s">
        <v>841</v>
      </c>
      <c r="K119" s="65"/>
      <c r="M119" s="114"/>
      <c r="O119" s="114"/>
      <c r="P119" s="114"/>
      <c r="Q119" s="65"/>
      <c r="R119" s="65"/>
      <c r="S119" s="65"/>
      <c r="T119" s="65"/>
      <c r="U119" s="65"/>
      <c r="V119" s="65"/>
      <c r="W119" s="65"/>
      <c r="X119" s="65"/>
      <c r="Y119" s="65"/>
      <c r="Z119" s="65"/>
    </row>
    <row r="120">
      <c r="A120" s="112"/>
      <c r="B120" s="78"/>
      <c r="C120" s="73" t="s">
        <v>842</v>
      </c>
      <c r="D120" s="73" t="s">
        <v>604</v>
      </c>
      <c r="E120" s="73" t="s">
        <v>604</v>
      </c>
      <c r="F120" s="73" t="s">
        <v>843</v>
      </c>
      <c r="G120" s="115" t="s">
        <v>844</v>
      </c>
      <c r="H120" s="73" t="s">
        <v>639</v>
      </c>
      <c r="I120" s="87" t="s">
        <v>845</v>
      </c>
      <c r="J120" s="73"/>
      <c r="K120" s="65"/>
      <c r="M120" s="114"/>
      <c r="O120" s="114"/>
      <c r="P120" s="114"/>
      <c r="Q120" s="65"/>
      <c r="R120" s="65"/>
      <c r="S120" s="65"/>
      <c r="T120" s="65"/>
      <c r="U120" s="65"/>
      <c r="V120" s="65"/>
      <c r="W120" s="65"/>
      <c r="X120" s="65"/>
      <c r="Y120" s="65"/>
      <c r="Z120" s="65"/>
    </row>
    <row r="121">
      <c r="A121" s="112"/>
      <c r="B121" s="78"/>
      <c r="C121" s="73" t="s">
        <v>846</v>
      </c>
      <c r="D121" s="73" t="s">
        <v>847</v>
      </c>
      <c r="E121" s="97" t="s">
        <v>609</v>
      </c>
      <c r="F121" s="87" t="s">
        <v>848</v>
      </c>
      <c r="G121" s="20" t="s">
        <v>606</v>
      </c>
      <c r="H121" s="20" t="s">
        <v>143</v>
      </c>
      <c r="I121" s="87" t="s">
        <v>849</v>
      </c>
      <c r="J121" s="78"/>
      <c r="K121" s="65"/>
      <c r="L121" s="114"/>
      <c r="M121" s="114"/>
      <c r="N121" s="114"/>
      <c r="O121" s="114"/>
      <c r="P121" s="114"/>
      <c r="Q121" s="65"/>
      <c r="R121" s="65"/>
      <c r="S121" s="65"/>
      <c r="T121" s="65"/>
      <c r="U121" s="65"/>
      <c r="V121" s="65"/>
      <c r="W121" s="65"/>
      <c r="X121" s="65"/>
      <c r="Y121" s="65"/>
      <c r="Z121" s="65"/>
    </row>
    <row r="122">
      <c r="A122" s="112"/>
      <c r="B122" s="78"/>
      <c r="C122" s="73" t="s">
        <v>597</v>
      </c>
      <c r="D122" s="73" t="s">
        <v>850</v>
      </c>
      <c r="E122" s="73" t="s">
        <v>615</v>
      </c>
      <c r="F122" s="87" t="s">
        <v>851</v>
      </c>
      <c r="G122" s="73" t="s">
        <v>611</v>
      </c>
      <c r="H122" s="73" t="s">
        <v>852</v>
      </c>
      <c r="I122" s="73" t="s">
        <v>853</v>
      </c>
      <c r="J122" s="78"/>
      <c r="K122" s="65"/>
      <c r="L122" s="114"/>
      <c r="M122" s="114"/>
      <c r="N122" s="114"/>
      <c r="O122" s="114"/>
      <c r="P122" s="114"/>
      <c r="Q122" s="65"/>
      <c r="R122" s="65"/>
      <c r="S122" s="65"/>
      <c r="T122" s="65"/>
      <c r="U122" s="65"/>
      <c r="V122" s="65"/>
      <c r="W122" s="65"/>
      <c r="X122" s="65"/>
      <c r="Y122" s="65"/>
      <c r="Z122" s="65"/>
    </row>
    <row r="123">
      <c r="A123" s="112"/>
      <c r="B123" s="78"/>
      <c r="C123" s="73" t="s">
        <v>854</v>
      </c>
      <c r="D123" s="73" t="s">
        <v>855</v>
      </c>
      <c r="E123" s="116" t="s">
        <v>856</v>
      </c>
      <c r="F123" s="87" t="s">
        <v>857</v>
      </c>
      <c r="G123" s="73" t="s">
        <v>858</v>
      </c>
      <c r="H123" s="73" t="s">
        <v>781</v>
      </c>
      <c r="I123" s="116" t="s">
        <v>859</v>
      </c>
      <c r="J123" s="78"/>
      <c r="K123" s="65"/>
      <c r="L123" s="65"/>
      <c r="M123" s="65"/>
      <c r="N123" s="65"/>
      <c r="O123" s="65"/>
      <c r="P123" s="65"/>
      <c r="Q123" s="65"/>
      <c r="R123" s="65"/>
      <c r="S123" s="65"/>
      <c r="T123" s="65"/>
      <c r="U123" s="65"/>
      <c r="V123" s="65"/>
      <c r="W123" s="65"/>
      <c r="X123" s="65"/>
      <c r="Y123" s="65"/>
      <c r="Z123" s="65"/>
    </row>
    <row r="124" ht="57.75" customHeight="1">
      <c r="A124" s="112"/>
      <c r="B124" s="78"/>
      <c r="C124" s="73" t="s">
        <v>860</v>
      </c>
      <c r="D124" s="73" t="s">
        <v>861</v>
      </c>
      <c r="E124" s="116" t="s">
        <v>625</v>
      </c>
      <c r="F124" s="87" t="s">
        <v>862</v>
      </c>
      <c r="G124" s="116" t="s">
        <v>863</v>
      </c>
      <c r="H124" s="116"/>
      <c r="I124" s="116" t="s">
        <v>864</v>
      </c>
      <c r="J124" s="78"/>
      <c r="K124" s="65"/>
      <c r="L124" s="65"/>
      <c r="M124" s="65"/>
      <c r="N124" s="65"/>
      <c r="O124" s="65"/>
      <c r="P124" s="65"/>
      <c r="Q124" s="65"/>
      <c r="R124" s="65"/>
      <c r="S124" s="65"/>
      <c r="T124" s="65"/>
      <c r="U124" s="65"/>
      <c r="V124" s="65"/>
      <c r="W124" s="65"/>
      <c r="X124" s="65"/>
      <c r="Y124" s="65"/>
      <c r="Z124" s="65"/>
    </row>
    <row r="125" ht="78.75" customHeight="1">
      <c r="A125" s="112"/>
      <c r="B125" s="78"/>
      <c r="C125" s="78"/>
      <c r="D125" s="73" t="s">
        <v>865</v>
      </c>
      <c r="E125" s="116" t="s">
        <v>630</v>
      </c>
      <c r="F125" s="138" t="s">
        <v>287</v>
      </c>
      <c r="G125" s="118"/>
      <c r="H125" s="119"/>
      <c r="I125" s="73" t="s">
        <v>866</v>
      </c>
      <c r="J125" s="78"/>
      <c r="K125" s="65"/>
      <c r="L125" s="65"/>
      <c r="M125" s="65"/>
      <c r="N125" s="65"/>
      <c r="O125" s="65"/>
      <c r="P125" s="65"/>
      <c r="Q125" s="65"/>
      <c r="R125" s="65"/>
      <c r="S125" s="65"/>
      <c r="T125" s="65"/>
      <c r="U125" s="65"/>
      <c r="V125" s="65"/>
      <c r="W125" s="65"/>
      <c r="X125" s="65"/>
      <c r="Y125" s="65"/>
      <c r="Z125" s="65"/>
    </row>
    <row r="126" ht="34.5" customHeight="1">
      <c r="A126" s="112"/>
      <c r="B126" s="78"/>
      <c r="C126" s="73"/>
      <c r="D126" s="73" t="s">
        <v>867</v>
      </c>
      <c r="E126" s="116"/>
      <c r="F126" s="138" t="s">
        <v>868</v>
      </c>
      <c r="G126" s="118"/>
      <c r="H126" s="96"/>
      <c r="I126" s="116"/>
      <c r="J126" s="78"/>
      <c r="K126" s="65"/>
      <c r="L126" s="65"/>
      <c r="M126" s="65"/>
      <c r="N126" s="65"/>
      <c r="O126" s="65"/>
      <c r="P126" s="65"/>
      <c r="Q126" s="65"/>
      <c r="R126" s="65"/>
      <c r="S126" s="65"/>
      <c r="T126" s="65"/>
      <c r="U126" s="65"/>
      <c r="V126" s="65"/>
      <c r="W126" s="65"/>
      <c r="X126" s="65"/>
      <c r="Y126" s="65"/>
      <c r="Z126" s="65"/>
    </row>
    <row r="127">
      <c r="A127" s="112"/>
      <c r="B127" s="78"/>
      <c r="C127" s="78"/>
      <c r="D127" s="73" t="s">
        <v>869</v>
      </c>
      <c r="E127" s="116"/>
      <c r="F127" s="139" t="s">
        <v>870</v>
      </c>
      <c r="G127" s="118"/>
      <c r="H127" s="139" t="s">
        <v>870</v>
      </c>
      <c r="I127" s="73"/>
      <c r="J127" s="78"/>
      <c r="K127" s="65"/>
      <c r="L127" s="65"/>
      <c r="M127" s="65"/>
      <c r="N127" s="65"/>
      <c r="O127" s="65"/>
      <c r="P127" s="65"/>
      <c r="Q127" s="65"/>
      <c r="R127" s="65"/>
      <c r="S127" s="65"/>
      <c r="T127" s="65"/>
      <c r="U127" s="65"/>
      <c r="V127" s="65"/>
      <c r="W127" s="65"/>
      <c r="X127" s="65"/>
      <c r="Y127" s="65"/>
      <c r="Z127" s="65"/>
    </row>
    <row r="128">
      <c r="A128" s="112"/>
      <c r="B128" s="78"/>
      <c r="C128" s="78"/>
      <c r="D128" s="116"/>
      <c r="E128" s="116"/>
      <c r="F128" s="139" t="s">
        <v>871</v>
      </c>
      <c r="G128" s="118"/>
      <c r="H128" s="139"/>
      <c r="I128" s="118"/>
      <c r="J128" s="78"/>
      <c r="K128" s="65"/>
      <c r="L128" s="65"/>
      <c r="M128" s="65"/>
      <c r="N128" s="65"/>
      <c r="O128" s="65"/>
      <c r="P128" s="65"/>
      <c r="Q128" s="65"/>
      <c r="R128" s="65"/>
      <c r="S128" s="65"/>
      <c r="T128" s="65"/>
      <c r="U128" s="65"/>
      <c r="V128" s="65"/>
      <c r="W128" s="65"/>
      <c r="X128" s="65"/>
      <c r="Y128" s="65"/>
      <c r="Z128" s="65"/>
    </row>
    <row r="129">
      <c r="A129" s="129">
        <v>1.0</v>
      </c>
      <c r="B129" s="73" t="s">
        <v>356</v>
      </c>
      <c r="C129" s="73" t="s">
        <v>357</v>
      </c>
      <c r="D129" s="73" t="s">
        <v>358</v>
      </c>
      <c r="E129" s="73"/>
      <c r="F129" s="97" t="s">
        <v>872</v>
      </c>
      <c r="G129" s="73" t="s">
        <v>665</v>
      </c>
      <c r="H129" s="73" t="s">
        <v>666</v>
      </c>
      <c r="I129" s="73" t="s">
        <v>667</v>
      </c>
      <c r="J129" s="73"/>
      <c r="K129" s="65"/>
      <c r="L129" s="114"/>
      <c r="M129" s="114"/>
      <c r="N129" s="114"/>
      <c r="O129" s="114"/>
      <c r="P129" s="114"/>
      <c r="Q129" s="65"/>
      <c r="R129" s="65"/>
      <c r="S129" s="65"/>
      <c r="T129" s="65"/>
      <c r="U129" s="65"/>
      <c r="V129" s="65"/>
      <c r="W129" s="65"/>
      <c r="X129" s="65"/>
      <c r="Y129" s="65"/>
      <c r="Z129" s="65"/>
    </row>
    <row r="130">
      <c r="A130" s="129">
        <v>2.0</v>
      </c>
      <c r="B130" s="73" t="s">
        <v>801</v>
      </c>
      <c r="C130" s="73" t="s">
        <v>107</v>
      </c>
      <c r="D130" s="73" t="s">
        <v>802</v>
      </c>
      <c r="E130" s="73" t="s">
        <v>873</v>
      </c>
      <c r="F130" s="73" t="s">
        <v>874</v>
      </c>
      <c r="G130" s="80" t="s">
        <v>875</v>
      </c>
      <c r="H130" s="140" t="s">
        <v>210</v>
      </c>
      <c r="I130" s="73" t="s">
        <v>70</v>
      </c>
      <c r="J130" s="73"/>
      <c r="K130" s="65"/>
      <c r="L130" s="114"/>
      <c r="M130" s="65"/>
      <c r="N130" s="65"/>
      <c r="O130" s="65"/>
      <c r="P130" s="65"/>
      <c r="Q130" s="65"/>
      <c r="R130" s="65"/>
      <c r="S130" s="65"/>
      <c r="T130" s="65"/>
      <c r="U130" s="65"/>
      <c r="V130" s="65"/>
      <c r="W130" s="65"/>
      <c r="X130" s="65"/>
      <c r="Y130" s="65"/>
      <c r="Z130" s="65"/>
    </row>
    <row r="131">
      <c r="A131" s="129">
        <v>3.0</v>
      </c>
      <c r="B131" s="73" t="s">
        <v>712</v>
      </c>
      <c r="C131" s="73" t="s">
        <v>328</v>
      </c>
      <c r="D131" s="73" t="s">
        <v>713</v>
      </c>
      <c r="E131" s="73" t="s">
        <v>543</v>
      </c>
      <c r="F131" s="73" t="s">
        <v>876</v>
      </c>
      <c r="G131" s="97" t="s">
        <v>877</v>
      </c>
      <c r="H131" s="73" t="s">
        <v>878</v>
      </c>
      <c r="I131" s="73" t="s">
        <v>343</v>
      </c>
      <c r="J131" s="73"/>
      <c r="K131" s="65"/>
      <c r="L131" s="65"/>
      <c r="M131" s="65"/>
      <c r="N131" s="65"/>
      <c r="O131" s="65"/>
      <c r="P131" s="65"/>
      <c r="Q131" s="65"/>
      <c r="R131" s="65"/>
      <c r="S131" s="65"/>
      <c r="T131" s="65"/>
      <c r="U131" s="65"/>
      <c r="V131" s="65"/>
      <c r="W131" s="65"/>
      <c r="X131" s="65"/>
      <c r="Y131" s="65"/>
      <c r="Z131" s="65"/>
    </row>
    <row r="132">
      <c r="A132" s="129">
        <v>4.0</v>
      </c>
      <c r="B132" s="73" t="s">
        <v>879</v>
      </c>
      <c r="C132" s="73" t="s">
        <v>357</v>
      </c>
      <c r="D132" s="73" t="s">
        <v>880</v>
      </c>
      <c r="E132" s="73" t="s">
        <v>881</v>
      </c>
      <c r="F132" s="73" t="s">
        <v>882</v>
      </c>
      <c r="G132" s="73" t="s">
        <v>883</v>
      </c>
      <c r="H132" s="140" t="s">
        <v>210</v>
      </c>
      <c r="I132" s="73" t="s">
        <v>210</v>
      </c>
      <c r="J132" s="73"/>
      <c r="K132" s="65"/>
      <c r="L132" s="65"/>
      <c r="M132" s="65"/>
      <c r="N132" s="65"/>
      <c r="O132" s="65"/>
      <c r="P132" s="65"/>
      <c r="Q132" s="65"/>
      <c r="R132" s="65"/>
      <c r="S132" s="65"/>
      <c r="T132" s="65"/>
      <c r="U132" s="65"/>
      <c r="V132" s="65"/>
      <c r="W132" s="65"/>
      <c r="X132" s="65"/>
      <c r="Y132" s="65"/>
      <c r="Z132" s="65"/>
    </row>
    <row r="133">
      <c r="A133" s="129">
        <v>5.0</v>
      </c>
      <c r="B133" s="73" t="s">
        <v>652</v>
      </c>
      <c r="C133" s="73" t="s">
        <v>186</v>
      </c>
      <c r="D133" s="73" t="s">
        <v>884</v>
      </c>
      <c r="E133" s="73" t="s">
        <v>543</v>
      </c>
      <c r="F133" s="73" t="s">
        <v>885</v>
      </c>
      <c r="G133" s="73" t="s">
        <v>886</v>
      </c>
      <c r="H133" s="140" t="s">
        <v>210</v>
      </c>
      <c r="I133" s="73" t="s">
        <v>210</v>
      </c>
      <c r="J133" s="73"/>
      <c r="K133" s="65"/>
      <c r="L133" s="65"/>
      <c r="M133" s="65"/>
      <c r="N133" s="65"/>
      <c r="O133" s="65"/>
      <c r="P133" s="65"/>
      <c r="Q133" s="65"/>
      <c r="R133" s="65"/>
      <c r="S133" s="65"/>
      <c r="T133" s="65"/>
      <c r="U133" s="65"/>
      <c r="V133" s="65"/>
      <c r="W133" s="65"/>
      <c r="X133" s="65"/>
      <c r="Y133" s="65"/>
      <c r="Z133" s="65"/>
    </row>
    <row r="134">
      <c r="A134" s="129">
        <v>6.0</v>
      </c>
      <c r="B134" s="87" t="s">
        <v>546</v>
      </c>
      <c r="C134" s="73" t="s">
        <v>328</v>
      </c>
      <c r="D134" s="73" t="s">
        <v>547</v>
      </c>
      <c r="E134" s="73" t="s">
        <v>543</v>
      </c>
      <c r="F134" s="73" t="s">
        <v>887</v>
      </c>
      <c r="G134" s="78"/>
      <c r="H134" s="73" t="s">
        <v>549</v>
      </c>
      <c r="I134" s="73" t="s">
        <v>125</v>
      </c>
      <c r="J134" s="73" t="s">
        <v>777</v>
      </c>
      <c r="K134" s="65"/>
      <c r="L134" s="65"/>
      <c r="M134" s="65"/>
      <c r="N134" s="65"/>
      <c r="O134" s="65"/>
      <c r="P134" s="65"/>
      <c r="Q134" s="65"/>
      <c r="R134" s="65"/>
      <c r="S134" s="65"/>
      <c r="T134" s="65"/>
      <c r="U134" s="65"/>
      <c r="V134" s="65"/>
      <c r="W134" s="65"/>
      <c r="X134" s="65"/>
      <c r="Y134" s="65"/>
      <c r="Z134" s="65"/>
    </row>
    <row r="135">
      <c r="A135" s="129">
        <v>7.0</v>
      </c>
      <c r="B135" s="73" t="s">
        <v>807</v>
      </c>
      <c r="C135" s="73" t="s">
        <v>328</v>
      </c>
      <c r="D135" s="73" t="s">
        <v>808</v>
      </c>
      <c r="E135" s="73" t="s">
        <v>543</v>
      </c>
      <c r="F135" s="73" t="s">
        <v>888</v>
      </c>
      <c r="G135" s="78"/>
      <c r="H135" s="73" t="s">
        <v>810</v>
      </c>
      <c r="I135" s="73" t="s">
        <v>418</v>
      </c>
      <c r="J135" s="73" t="s">
        <v>889</v>
      </c>
      <c r="K135" s="65"/>
      <c r="L135" s="65"/>
      <c r="M135" s="65"/>
      <c r="N135" s="65"/>
      <c r="O135" s="65"/>
      <c r="P135" s="65"/>
      <c r="Q135" s="65"/>
      <c r="R135" s="65"/>
      <c r="S135" s="65"/>
      <c r="T135" s="65"/>
      <c r="U135" s="65"/>
      <c r="V135" s="65"/>
      <c r="W135" s="65"/>
      <c r="X135" s="65"/>
      <c r="Y135" s="65"/>
      <c r="Z135" s="65"/>
    </row>
    <row r="136">
      <c r="A136" s="129">
        <v>8.0</v>
      </c>
      <c r="B136" s="73" t="s">
        <v>890</v>
      </c>
      <c r="C136" s="73" t="s">
        <v>328</v>
      </c>
      <c r="D136" s="73" t="s">
        <v>891</v>
      </c>
      <c r="E136" s="73" t="s">
        <v>881</v>
      </c>
      <c r="F136" s="73" t="s">
        <v>892</v>
      </c>
      <c r="G136" s="73" t="s">
        <v>893</v>
      </c>
      <c r="H136" s="140" t="s">
        <v>894</v>
      </c>
      <c r="I136" s="73" t="s">
        <v>418</v>
      </c>
      <c r="J136" s="73" t="s">
        <v>895</v>
      </c>
      <c r="K136" s="65"/>
      <c r="L136" s="65"/>
      <c r="M136" s="65"/>
      <c r="N136" s="65"/>
      <c r="O136" s="65"/>
      <c r="P136" s="65"/>
      <c r="Q136" s="65"/>
      <c r="R136" s="65"/>
      <c r="S136" s="65"/>
      <c r="T136" s="65"/>
      <c r="U136" s="65"/>
      <c r="V136" s="65"/>
      <c r="W136" s="65"/>
      <c r="X136" s="65"/>
      <c r="Y136" s="65"/>
      <c r="Z136" s="65"/>
    </row>
    <row r="137">
      <c r="A137" s="129">
        <v>9.0</v>
      </c>
      <c r="B137" s="73" t="s">
        <v>896</v>
      </c>
      <c r="C137" s="73" t="s">
        <v>186</v>
      </c>
      <c r="D137" s="73" t="s">
        <v>897</v>
      </c>
      <c r="E137" s="73" t="s">
        <v>543</v>
      </c>
      <c r="F137" s="73" t="s">
        <v>898</v>
      </c>
      <c r="G137" s="73" t="s">
        <v>899</v>
      </c>
      <c r="H137" s="140" t="s">
        <v>900</v>
      </c>
      <c r="I137" s="73" t="s">
        <v>160</v>
      </c>
      <c r="J137" s="73" t="s">
        <v>901</v>
      </c>
      <c r="K137" s="65"/>
      <c r="L137" s="65"/>
      <c r="M137" s="65"/>
      <c r="N137" s="65"/>
      <c r="O137" s="65"/>
      <c r="P137" s="65"/>
      <c r="Q137" s="65"/>
      <c r="R137" s="65"/>
      <c r="S137" s="65"/>
      <c r="T137" s="65"/>
      <c r="U137" s="65"/>
      <c r="V137" s="65"/>
      <c r="W137" s="65"/>
      <c r="X137" s="65"/>
      <c r="Y137" s="65"/>
      <c r="Z137" s="65"/>
    </row>
    <row r="138">
      <c r="A138" s="129">
        <v>10.0</v>
      </c>
      <c r="B138" s="73" t="s">
        <v>902</v>
      </c>
      <c r="C138" s="73" t="s">
        <v>408</v>
      </c>
      <c r="D138" s="73" t="s">
        <v>903</v>
      </c>
      <c r="E138" s="73" t="s">
        <v>881</v>
      </c>
      <c r="F138" s="73" t="s">
        <v>904</v>
      </c>
      <c r="G138" s="73" t="s">
        <v>905</v>
      </c>
      <c r="H138" s="140" t="s">
        <v>906</v>
      </c>
      <c r="I138" s="73" t="s">
        <v>907</v>
      </c>
      <c r="J138" s="73" t="s">
        <v>908</v>
      </c>
      <c r="K138" s="65"/>
      <c r="L138" s="65"/>
      <c r="M138" s="65"/>
      <c r="N138" s="65"/>
      <c r="O138" s="65"/>
      <c r="P138" s="65"/>
      <c r="Q138" s="65"/>
      <c r="R138" s="65"/>
      <c r="S138" s="65"/>
      <c r="T138" s="65"/>
      <c r="U138" s="65"/>
      <c r="V138" s="65"/>
      <c r="W138" s="65"/>
      <c r="X138" s="65"/>
      <c r="Y138" s="65"/>
      <c r="Z138" s="65"/>
    </row>
    <row r="139">
      <c r="A139" s="129">
        <v>11.0</v>
      </c>
      <c r="B139" s="73" t="s">
        <v>909</v>
      </c>
      <c r="C139" s="73" t="s">
        <v>328</v>
      </c>
      <c r="D139" s="73" t="s">
        <v>910</v>
      </c>
      <c r="E139" s="73" t="s">
        <v>881</v>
      </c>
      <c r="F139" s="73" t="s">
        <v>911</v>
      </c>
      <c r="G139" s="73" t="s">
        <v>912</v>
      </c>
      <c r="H139" s="140" t="s">
        <v>913</v>
      </c>
      <c r="I139" s="73" t="s">
        <v>90</v>
      </c>
      <c r="J139" s="73" t="s">
        <v>914</v>
      </c>
      <c r="K139" s="65"/>
      <c r="L139" s="65"/>
      <c r="M139" s="65"/>
      <c r="N139" s="65"/>
      <c r="O139" s="65"/>
      <c r="P139" s="65"/>
      <c r="Q139" s="65"/>
      <c r="R139" s="65"/>
      <c r="S139" s="65"/>
      <c r="T139" s="65"/>
      <c r="U139" s="65"/>
      <c r="V139" s="65"/>
      <c r="W139" s="65"/>
      <c r="X139" s="65"/>
      <c r="Y139" s="65"/>
      <c r="Z139" s="65"/>
    </row>
    <row r="140">
      <c r="A140" s="129">
        <v>12.0</v>
      </c>
      <c r="B140" s="73" t="s">
        <v>915</v>
      </c>
      <c r="C140" s="73" t="s">
        <v>186</v>
      </c>
      <c r="D140" s="73" t="s">
        <v>897</v>
      </c>
      <c r="E140" s="73" t="s">
        <v>881</v>
      </c>
      <c r="F140" s="73" t="s">
        <v>916</v>
      </c>
      <c r="G140" s="73" t="s">
        <v>917</v>
      </c>
      <c r="H140" s="140" t="s">
        <v>918</v>
      </c>
      <c r="I140" s="73" t="s">
        <v>160</v>
      </c>
      <c r="J140" s="73" t="s">
        <v>919</v>
      </c>
      <c r="K140" s="65"/>
      <c r="L140" s="65"/>
      <c r="M140" s="65"/>
      <c r="N140" s="65"/>
      <c r="O140" s="65"/>
      <c r="P140" s="65"/>
      <c r="Q140" s="65"/>
      <c r="R140" s="65"/>
      <c r="S140" s="65"/>
      <c r="T140" s="65"/>
      <c r="U140" s="65"/>
      <c r="V140" s="65"/>
      <c r="W140" s="65"/>
      <c r="X140" s="65"/>
      <c r="Y140" s="65"/>
      <c r="Z140" s="65"/>
    </row>
    <row r="141">
      <c r="A141" s="129">
        <v>13.0</v>
      </c>
      <c r="B141" s="141" t="s">
        <v>920</v>
      </c>
      <c r="C141" s="73" t="s">
        <v>357</v>
      </c>
      <c r="D141" s="73" t="s">
        <v>921</v>
      </c>
      <c r="E141" s="73" t="s">
        <v>881</v>
      </c>
      <c r="F141" s="73" t="s">
        <v>922</v>
      </c>
      <c r="G141" s="73" t="s">
        <v>923</v>
      </c>
      <c r="H141" s="140" t="s">
        <v>210</v>
      </c>
      <c r="I141" s="73" t="s">
        <v>924</v>
      </c>
      <c r="J141" s="73" t="s">
        <v>925</v>
      </c>
      <c r="K141" s="65"/>
      <c r="L141" s="65"/>
      <c r="M141" s="65"/>
      <c r="N141" s="65"/>
      <c r="O141" s="65"/>
      <c r="P141" s="65"/>
      <c r="Q141" s="65"/>
      <c r="R141" s="65"/>
      <c r="S141" s="65"/>
      <c r="T141" s="65"/>
      <c r="U141" s="65"/>
      <c r="V141" s="65"/>
      <c r="W141" s="65"/>
      <c r="X141" s="65"/>
      <c r="Y141" s="65"/>
      <c r="Z141" s="65"/>
    </row>
    <row r="142">
      <c r="A142" s="129">
        <v>14.0</v>
      </c>
      <c r="B142" s="73" t="s">
        <v>926</v>
      </c>
      <c r="C142" s="73" t="s">
        <v>328</v>
      </c>
      <c r="D142" s="73" t="s">
        <v>927</v>
      </c>
      <c r="E142" s="73" t="s">
        <v>881</v>
      </c>
      <c r="F142" s="73" t="s">
        <v>928</v>
      </c>
      <c r="G142" s="73"/>
      <c r="H142" s="140" t="s">
        <v>929</v>
      </c>
      <c r="I142" s="73" t="s">
        <v>930</v>
      </c>
      <c r="J142" s="73" t="s">
        <v>931</v>
      </c>
      <c r="K142" s="65"/>
      <c r="L142" s="65"/>
      <c r="M142" s="65"/>
      <c r="N142" s="65"/>
      <c r="O142" s="65"/>
      <c r="P142" s="65"/>
      <c r="Q142" s="65"/>
      <c r="R142" s="65"/>
      <c r="S142" s="65"/>
      <c r="T142" s="65"/>
      <c r="U142" s="65"/>
      <c r="V142" s="65"/>
      <c r="W142" s="65"/>
      <c r="X142" s="65"/>
      <c r="Y142" s="65"/>
      <c r="Z142" s="65"/>
    </row>
    <row r="143">
      <c r="A143" s="129">
        <v>15.0</v>
      </c>
      <c r="B143" s="73" t="s">
        <v>932</v>
      </c>
      <c r="C143" s="73" t="s">
        <v>328</v>
      </c>
      <c r="D143" s="73" t="s">
        <v>933</v>
      </c>
      <c r="E143" s="73" t="s">
        <v>881</v>
      </c>
      <c r="F143" s="73" t="s">
        <v>934</v>
      </c>
      <c r="G143" s="73" t="s">
        <v>935</v>
      </c>
      <c r="H143" s="140"/>
      <c r="I143" s="73" t="s">
        <v>418</v>
      </c>
      <c r="J143" s="73" t="s">
        <v>936</v>
      </c>
      <c r="K143" s="65"/>
      <c r="L143" s="65"/>
      <c r="M143" s="65"/>
      <c r="N143" s="65"/>
      <c r="O143" s="65"/>
      <c r="P143" s="65"/>
      <c r="Q143" s="65"/>
      <c r="R143" s="65"/>
      <c r="S143" s="65"/>
      <c r="T143" s="65"/>
      <c r="U143" s="65"/>
      <c r="V143" s="65"/>
      <c r="W143" s="65"/>
      <c r="X143" s="65"/>
      <c r="Y143" s="65"/>
      <c r="Z143" s="65"/>
    </row>
    <row r="144">
      <c r="A144" s="129">
        <v>16.0</v>
      </c>
      <c r="B144" s="73" t="s">
        <v>937</v>
      </c>
      <c r="C144" s="73" t="s">
        <v>186</v>
      </c>
      <c r="D144" s="73" t="s">
        <v>717</v>
      </c>
      <c r="E144" s="73" t="s">
        <v>881</v>
      </c>
      <c r="F144" s="73" t="s">
        <v>938</v>
      </c>
      <c r="G144" s="73" t="s">
        <v>939</v>
      </c>
      <c r="H144" s="140" t="s">
        <v>940</v>
      </c>
      <c r="I144" s="73" t="s">
        <v>941</v>
      </c>
      <c r="J144" s="73" t="s">
        <v>942</v>
      </c>
      <c r="K144" s="65"/>
      <c r="L144" s="65"/>
      <c r="M144" s="65"/>
      <c r="N144" s="65"/>
      <c r="O144" s="65"/>
      <c r="P144" s="65"/>
      <c r="Q144" s="65"/>
      <c r="R144" s="65"/>
      <c r="S144" s="65"/>
      <c r="T144" s="65"/>
      <c r="U144" s="65"/>
      <c r="V144" s="65"/>
      <c r="W144" s="65"/>
      <c r="X144" s="65"/>
      <c r="Y144" s="65"/>
      <c r="Z144" s="65"/>
    </row>
    <row r="145">
      <c r="A145" s="129">
        <v>16.0</v>
      </c>
      <c r="B145" s="73" t="s">
        <v>943</v>
      </c>
      <c r="C145" s="73" t="s">
        <v>328</v>
      </c>
      <c r="D145" s="73" t="s">
        <v>944</v>
      </c>
      <c r="E145" s="73" t="s">
        <v>881</v>
      </c>
      <c r="F145" s="73" t="s">
        <v>945</v>
      </c>
      <c r="G145" s="73" t="s">
        <v>946</v>
      </c>
      <c r="H145" s="140"/>
      <c r="I145" s="73" t="s">
        <v>418</v>
      </c>
      <c r="J145" s="73" t="s">
        <v>947</v>
      </c>
      <c r="K145" s="65"/>
      <c r="L145" s="65"/>
      <c r="M145" s="65"/>
      <c r="N145" s="65"/>
      <c r="O145" s="65"/>
      <c r="P145" s="65"/>
      <c r="Q145" s="65"/>
      <c r="R145" s="65"/>
      <c r="S145" s="65"/>
      <c r="T145" s="65"/>
      <c r="U145" s="65"/>
      <c r="V145" s="65"/>
      <c r="W145" s="65"/>
      <c r="X145" s="65"/>
      <c r="Y145" s="65"/>
      <c r="Z145" s="65"/>
    </row>
    <row r="146">
      <c r="A146" s="129">
        <v>17.0</v>
      </c>
      <c r="B146" s="73" t="s">
        <v>948</v>
      </c>
      <c r="C146" s="73" t="s">
        <v>328</v>
      </c>
      <c r="D146" s="73" t="s">
        <v>573</v>
      </c>
      <c r="E146" s="73" t="s">
        <v>881</v>
      </c>
      <c r="F146" s="73" t="s">
        <v>949</v>
      </c>
      <c r="G146" s="73" t="s">
        <v>950</v>
      </c>
      <c r="H146" s="140" t="s">
        <v>929</v>
      </c>
      <c r="I146" s="73" t="s">
        <v>930</v>
      </c>
      <c r="J146" s="73" t="s">
        <v>951</v>
      </c>
      <c r="K146" s="65"/>
      <c r="L146" s="65"/>
      <c r="M146" s="65"/>
      <c r="N146" s="65"/>
      <c r="O146" s="65"/>
      <c r="P146" s="65"/>
      <c r="Q146" s="65"/>
      <c r="R146" s="65"/>
      <c r="S146" s="65"/>
      <c r="T146" s="65"/>
      <c r="U146" s="65"/>
      <c r="V146" s="65"/>
      <c r="W146" s="65"/>
      <c r="X146" s="65"/>
      <c r="Y146" s="65"/>
      <c r="Z146" s="65"/>
    </row>
    <row r="147">
      <c r="A147" s="129">
        <v>18.0</v>
      </c>
      <c r="B147" s="73" t="s">
        <v>465</v>
      </c>
      <c r="C147" s="73" t="s">
        <v>357</v>
      </c>
      <c r="D147" s="73" t="s">
        <v>952</v>
      </c>
      <c r="E147" s="73" t="s">
        <v>881</v>
      </c>
      <c r="F147" s="73" t="s">
        <v>953</v>
      </c>
      <c r="G147" s="73" t="s">
        <v>954</v>
      </c>
      <c r="H147" s="140" t="s">
        <v>955</v>
      </c>
      <c r="I147" s="73" t="s">
        <v>125</v>
      </c>
      <c r="J147" s="73" t="s">
        <v>956</v>
      </c>
      <c r="K147" s="65"/>
      <c r="L147" s="65"/>
      <c r="M147" s="65"/>
      <c r="N147" s="65"/>
      <c r="O147" s="65"/>
      <c r="P147" s="65"/>
      <c r="Q147" s="65"/>
      <c r="R147" s="65"/>
      <c r="S147" s="65"/>
      <c r="T147" s="65"/>
      <c r="U147" s="65"/>
      <c r="V147" s="65"/>
      <c r="W147" s="65"/>
      <c r="X147" s="65"/>
      <c r="Y147" s="65"/>
      <c r="Z147" s="65"/>
    </row>
    <row r="148">
      <c r="A148" s="129">
        <v>19.0</v>
      </c>
      <c r="B148" s="73" t="s">
        <v>91</v>
      </c>
      <c r="C148" s="73" t="s">
        <v>328</v>
      </c>
      <c r="D148" s="73" t="s">
        <v>957</v>
      </c>
      <c r="E148" s="73" t="s">
        <v>881</v>
      </c>
      <c r="F148" s="73" t="s">
        <v>958</v>
      </c>
      <c r="G148" s="73"/>
      <c r="H148" s="140" t="s">
        <v>959</v>
      </c>
      <c r="I148" s="73" t="s">
        <v>125</v>
      </c>
      <c r="J148" s="73" t="s">
        <v>960</v>
      </c>
      <c r="K148" s="65"/>
      <c r="L148" s="65"/>
      <c r="M148" s="65"/>
      <c r="N148" s="65"/>
      <c r="O148" s="65"/>
      <c r="P148" s="65"/>
      <c r="Q148" s="65"/>
      <c r="R148" s="65"/>
      <c r="S148" s="65"/>
      <c r="T148" s="65"/>
      <c r="U148" s="65"/>
      <c r="V148" s="65"/>
      <c r="W148" s="65"/>
      <c r="X148" s="65"/>
      <c r="Y148" s="65"/>
      <c r="Z148" s="65"/>
    </row>
    <row r="149">
      <c r="A149" s="129">
        <v>20.0</v>
      </c>
      <c r="B149" s="73" t="s">
        <v>327</v>
      </c>
      <c r="C149" s="73" t="s">
        <v>328</v>
      </c>
      <c r="D149" s="73" t="s">
        <v>961</v>
      </c>
      <c r="E149" s="73" t="s">
        <v>881</v>
      </c>
      <c r="F149" s="73" t="s">
        <v>962</v>
      </c>
      <c r="G149" s="73" t="s">
        <v>89</v>
      </c>
      <c r="H149" s="140" t="s">
        <v>661</v>
      </c>
      <c r="I149" s="73" t="s">
        <v>963</v>
      </c>
      <c r="J149" s="73" t="s">
        <v>964</v>
      </c>
      <c r="K149" s="65"/>
      <c r="L149" s="65"/>
      <c r="M149" s="65"/>
      <c r="N149" s="65"/>
      <c r="O149" s="65"/>
      <c r="P149" s="65"/>
      <c r="Q149" s="65"/>
      <c r="R149" s="65"/>
      <c r="S149" s="65"/>
      <c r="T149" s="65"/>
      <c r="U149" s="65"/>
      <c r="V149" s="65"/>
      <c r="W149" s="65"/>
      <c r="X149" s="65"/>
      <c r="Y149" s="65"/>
      <c r="Z149" s="65"/>
    </row>
    <row r="150">
      <c r="A150" s="129">
        <v>21.0</v>
      </c>
      <c r="B150" s="73" t="s">
        <v>965</v>
      </c>
      <c r="C150" s="73" t="s">
        <v>328</v>
      </c>
      <c r="D150" s="73" t="s">
        <v>966</v>
      </c>
      <c r="E150" s="73" t="s">
        <v>881</v>
      </c>
      <c r="F150" s="73" t="s">
        <v>967</v>
      </c>
      <c r="G150" s="73"/>
      <c r="H150" s="140"/>
      <c r="I150" s="73" t="s">
        <v>930</v>
      </c>
      <c r="J150" s="73" t="s">
        <v>968</v>
      </c>
      <c r="K150" s="65"/>
      <c r="L150" s="65"/>
      <c r="M150" s="65"/>
      <c r="N150" s="65"/>
      <c r="O150" s="65"/>
      <c r="P150" s="65"/>
      <c r="Q150" s="65"/>
      <c r="R150" s="65"/>
      <c r="S150" s="65"/>
      <c r="T150" s="65"/>
      <c r="U150" s="65"/>
      <c r="V150" s="65"/>
      <c r="W150" s="65"/>
      <c r="X150" s="65"/>
      <c r="Y150" s="65"/>
      <c r="Z150" s="65"/>
    </row>
    <row r="151">
      <c r="A151" s="129">
        <v>22.0</v>
      </c>
      <c r="B151" s="73" t="s">
        <v>415</v>
      </c>
      <c r="C151" s="73" t="s">
        <v>328</v>
      </c>
      <c r="D151" s="73" t="s">
        <v>969</v>
      </c>
      <c r="E151" s="73" t="s">
        <v>881</v>
      </c>
      <c r="F151" s="73" t="s">
        <v>970</v>
      </c>
      <c r="G151" s="73"/>
      <c r="H151" s="140"/>
      <c r="I151" s="73" t="s">
        <v>418</v>
      </c>
      <c r="J151" s="73" t="s">
        <v>971</v>
      </c>
      <c r="K151" s="65"/>
      <c r="L151" s="65"/>
      <c r="M151" s="65"/>
      <c r="N151" s="65"/>
      <c r="O151" s="65"/>
      <c r="P151" s="65"/>
      <c r="Q151" s="65"/>
      <c r="R151" s="65"/>
      <c r="S151" s="65"/>
      <c r="T151" s="65"/>
      <c r="U151" s="65"/>
      <c r="V151" s="65"/>
      <c r="W151" s="65"/>
      <c r="X151" s="65"/>
      <c r="Y151" s="65"/>
      <c r="Z151" s="65"/>
    </row>
    <row r="152">
      <c r="A152" s="129">
        <v>23.0</v>
      </c>
      <c r="B152" s="142" t="s">
        <v>972</v>
      </c>
      <c r="C152" s="73" t="s">
        <v>328</v>
      </c>
      <c r="D152" s="73" t="s">
        <v>973</v>
      </c>
      <c r="E152" s="73" t="s">
        <v>881</v>
      </c>
      <c r="F152" s="73" t="s">
        <v>974</v>
      </c>
      <c r="G152" s="142" t="s">
        <v>975</v>
      </c>
      <c r="H152" s="140" t="s">
        <v>210</v>
      </c>
      <c r="I152" s="73" t="s">
        <v>210</v>
      </c>
      <c r="J152" s="73" t="s">
        <v>976</v>
      </c>
      <c r="K152" s="65"/>
      <c r="L152" s="65"/>
      <c r="M152" s="65"/>
      <c r="N152" s="65"/>
      <c r="O152" s="65"/>
      <c r="P152" s="65"/>
      <c r="Q152" s="65"/>
      <c r="R152" s="65"/>
      <c r="S152" s="65"/>
      <c r="T152" s="65"/>
      <c r="U152" s="65"/>
      <c r="V152" s="65"/>
      <c r="W152" s="65"/>
      <c r="X152" s="65"/>
      <c r="Y152" s="65"/>
      <c r="Z152" s="65"/>
    </row>
    <row r="153">
      <c r="A153" s="129">
        <v>24.0</v>
      </c>
      <c r="B153" s="73" t="s">
        <v>71</v>
      </c>
      <c r="C153" s="73" t="s">
        <v>328</v>
      </c>
      <c r="D153" s="73" t="s">
        <v>977</v>
      </c>
      <c r="E153" s="73" t="s">
        <v>881</v>
      </c>
      <c r="F153" s="73" t="s">
        <v>978</v>
      </c>
      <c r="G153" s="73" t="s">
        <v>979</v>
      </c>
      <c r="H153" s="140" t="s">
        <v>210</v>
      </c>
      <c r="I153" s="73" t="s">
        <v>980</v>
      </c>
      <c r="J153" s="73"/>
      <c r="K153" s="65"/>
      <c r="L153" s="65"/>
      <c r="M153" s="65"/>
      <c r="N153" s="65"/>
      <c r="O153" s="65"/>
      <c r="P153" s="65"/>
      <c r="Q153" s="65"/>
      <c r="R153" s="65"/>
      <c r="S153" s="65"/>
      <c r="T153" s="65"/>
      <c r="U153" s="65"/>
      <c r="V153" s="65"/>
      <c r="W153" s="65"/>
      <c r="X153" s="65"/>
      <c r="Y153" s="65"/>
      <c r="Z153" s="65"/>
    </row>
    <row r="154">
      <c r="A154" s="129">
        <v>25.0</v>
      </c>
      <c r="B154" s="73" t="s">
        <v>981</v>
      </c>
      <c r="C154" s="73" t="s">
        <v>328</v>
      </c>
      <c r="D154" s="73" t="s">
        <v>982</v>
      </c>
      <c r="E154" s="73" t="s">
        <v>983</v>
      </c>
      <c r="F154" s="73" t="s">
        <v>984</v>
      </c>
      <c r="G154" s="73" t="s">
        <v>985</v>
      </c>
      <c r="H154" s="140" t="s">
        <v>125</v>
      </c>
      <c r="I154" s="73" t="s">
        <v>986</v>
      </c>
      <c r="J154" s="73" t="s">
        <v>987</v>
      </c>
      <c r="K154" s="65"/>
      <c r="L154" s="65"/>
      <c r="M154" s="65"/>
      <c r="N154" s="65"/>
      <c r="O154" s="65"/>
      <c r="P154" s="65"/>
      <c r="Q154" s="65"/>
      <c r="R154" s="65"/>
      <c r="S154" s="65"/>
      <c r="T154" s="65"/>
      <c r="U154" s="65"/>
      <c r="V154" s="65"/>
      <c r="W154" s="65"/>
      <c r="X154" s="65"/>
      <c r="Y154" s="65"/>
      <c r="Z154" s="65"/>
    </row>
    <row r="155">
      <c r="A155" s="129">
        <v>26.0</v>
      </c>
      <c r="B155" s="73" t="s">
        <v>763</v>
      </c>
      <c r="C155" s="73" t="s">
        <v>107</v>
      </c>
      <c r="D155" s="73" t="s">
        <v>747</v>
      </c>
      <c r="E155" s="73" t="s">
        <v>988</v>
      </c>
      <c r="F155" s="73" t="s">
        <v>493</v>
      </c>
      <c r="G155" s="73" t="s">
        <v>989</v>
      </c>
      <c r="H155" s="140" t="s">
        <v>990</v>
      </c>
      <c r="I155" s="73" t="s">
        <v>160</v>
      </c>
      <c r="J155" s="73" t="s">
        <v>991</v>
      </c>
      <c r="K155" s="65"/>
      <c r="L155" s="65"/>
      <c r="M155" s="65"/>
      <c r="N155" s="65"/>
      <c r="O155" s="65"/>
      <c r="P155" s="65"/>
      <c r="Q155" s="65"/>
      <c r="R155" s="65"/>
      <c r="S155" s="65"/>
      <c r="T155" s="65"/>
      <c r="U155" s="65"/>
      <c r="V155" s="65"/>
      <c r="W155" s="65"/>
      <c r="X155" s="65"/>
      <c r="Y155" s="65"/>
      <c r="Z155" s="65"/>
    </row>
    <row r="156">
      <c r="A156" s="129">
        <v>27.0</v>
      </c>
      <c r="B156" s="73" t="s">
        <v>258</v>
      </c>
      <c r="C156" s="73" t="s">
        <v>186</v>
      </c>
      <c r="D156" s="73" t="s">
        <v>717</v>
      </c>
      <c r="E156" s="73" t="s">
        <v>543</v>
      </c>
      <c r="F156" s="73" t="s">
        <v>493</v>
      </c>
      <c r="G156" s="73" t="s">
        <v>992</v>
      </c>
      <c r="H156" s="140" t="s">
        <v>680</v>
      </c>
      <c r="I156" s="73" t="s">
        <v>160</v>
      </c>
      <c r="J156" s="73" t="s">
        <v>993</v>
      </c>
      <c r="K156" s="65"/>
      <c r="L156" s="65"/>
      <c r="M156" s="65"/>
      <c r="N156" s="65"/>
      <c r="O156" s="65"/>
      <c r="P156" s="65"/>
      <c r="Q156" s="65"/>
      <c r="R156" s="65"/>
      <c r="S156" s="65"/>
      <c r="T156" s="65"/>
      <c r="U156" s="65"/>
      <c r="V156" s="65"/>
      <c r="W156" s="65"/>
      <c r="X156" s="65"/>
      <c r="Y156" s="65"/>
      <c r="Z156" s="65"/>
    </row>
    <row r="157">
      <c r="A157" s="129">
        <v>28.0</v>
      </c>
      <c r="B157" s="73" t="s">
        <v>795</v>
      </c>
      <c r="C157" s="73" t="s">
        <v>107</v>
      </c>
      <c r="D157" s="73" t="s">
        <v>994</v>
      </c>
      <c r="E157" s="73" t="s">
        <v>881</v>
      </c>
      <c r="F157" s="73" t="s">
        <v>995</v>
      </c>
      <c r="G157" s="73" t="s">
        <v>996</v>
      </c>
      <c r="H157" s="140"/>
      <c r="I157" s="73"/>
      <c r="J157" s="73" t="s">
        <v>997</v>
      </c>
      <c r="K157" s="65"/>
      <c r="L157" s="65"/>
      <c r="M157" s="65"/>
      <c r="N157" s="65"/>
      <c r="O157" s="65"/>
      <c r="P157" s="65"/>
      <c r="Q157" s="65"/>
      <c r="R157" s="65"/>
      <c r="S157" s="65"/>
      <c r="T157" s="65"/>
      <c r="U157" s="65"/>
      <c r="V157" s="65"/>
      <c r="W157" s="65"/>
      <c r="X157" s="65"/>
      <c r="Y157" s="65"/>
      <c r="Z157" s="65"/>
    </row>
    <row r="158">
      <c r="A158" s="129">
        <v>29.0</v>
      </c>
      <c r="B158" s="73" t="s">
        <v>998</v>
      </c>
      <c r="C158" s="73" t="s">
        <v>107</v>
      </c>
      <c r="D158" s="73" t="s">
        <v>999</v>
      </c>
      <c r="E158" s="73" t="s">
        <v>881</v>
      </c>
      <c r="F158" s="73" t="s">
        <v>1000</v>
      </c>
      <c r="G158" s="73" t="s">
        <v>1001</v>
      </c>
      <c r="H158" s="140" t="s">
        <v>1002</v>
      </c>
      <c r="I158" s="73" t="s">
        <v>70</v>
      </c>
      <c r="J158" s="73" t="s">
        <v>1003</v>
      </c>
      <c r="K158" s="65"/>
      <c r="L158" s="65"/>
      <c r="M158" s="65"/>
      <c r="N158" s="65"/>
      <c r="O158" s="65"/>
      <c r="P158" s="65"/>
      <c r="Q158" s="65"/>
      <c r="R158" s="65"/>
      <c r="S158" s="65"/>
      <c r="T158" s="65"/>
      <c r="U158" s="65"/>
      <c r="V158" s="65"/>
      <c r="W158" s="65"/>
      <c r="X158" s="65"/>
      <c r="Y158" s="65"/>
      <c r="Z158" s="65"/>
    </row>
    <row r="159">
      <c r="A159" s="129">
        <v>30.0</v>
      </c>
      <c r="B159" s="73" t="s">
        <v>1004</v>
      </c>
      <c r="C159" s="73" t="s">
        <v>107</v>
      </c>
      <c r="D159" s="73" t="s">
        <v>1005</v>
      </c>
      <c r="E159" s="73" t="s">
        <v>881</v>
      </c>
      <c r="F159" s="73" t="s">
        <v>493</v>
      </c>
      <c r="G159" s="73" t="s">
        <v>1006</v>
      </c>
      <c r="H159" s="140" t="s">
        <v>929</v>
      </c>
      <c r="I159" s="73" t="s">
        <v>70</v>
      </c>
      <c r="J159" s="73" t="s">
        <v>1007</v>
      </c>
      <c r="K159" s="65"/>
      <c r="L159" s="65"/>
      <c r="M159" s="65"/>
      <c r="N159" s="65"/>
      <c r="O159" s="65"/>
      <c r="P159" s="65"/>
      <c r="Q159" s="65"/>
      <c r="R159" s="65"/>
      <c r="S159" s="65"/>
      <c r="T159" s="65"/>
      <c r="U159" s="65"/>
      <c r="V159" s="65"/>
      <c r="W159" s="65"/>
      <c r="X159" s="65"/>
      <c r="Y159" s="65"/>
      <c r="Z159" s="65"/>
    </row>
    <row r="160">
      <c r="A160" s="129">
        <v>31.0</v>
      </c>
      <c r="B160" s="73" t="s">
        <v>812</v>
      </c>
      <c r="C160" s="73" t="s">
        <v>328</v>
      </c>
      <c r="D160" s="73" t="s">
        <v>1008</v>
      </c>
      <c r="E160" s="73" t="s">
        <v>881</v>
      </c>
      <c r="F160" s="73" t="s">
        <v>1009</v>
      </c>
      <c r="G160" s="73" t="s">
        <v>1010</v>
      </c>
      <c r="H160" s="140"/>
      <c r="I160" s="73" t="s">
        <v>361</v>
      </c>
      <c r="J160" s="73"/>
      <c r="K160" s="65"/>
      <c r="L160" s="65"/>
      <c r="M160" s="65"/>
      <c r="N160" s="65"/>
      <c r="O160" s="65"/>
      <c r="P160" s="65"/>
      <c r="Q160" s="65"/>
      <c r="R160" s="65"/>
      <c r="S160" s="65"/>
      <c r="T160" s="65"/>
      <c r="U160" s="65"/>
      <c r="V160" s="65"/>
      <c r="W160" s="65"/>
      <c r="X160" s="65"/>
      <c r="Y160" s="65"/>
      <c r="Z160" s="65"/>
    </row>
    <row r="161">
      <c r="A161" s="129">
        <v>32.0</v>
      </c>
      <c r="B161" s="73" t="s">
        <v>1011</v>
      </c>
      <c r="C161" s="73" t="s">
        <v>328</v>
      </c>
      <c r="D161" s="73" t="s">
        <v>1012</v>
      </c>
      <c r="E161" s="73" t="s">
        <v>881</v>
      </c>
      <c r="F161" s="73" t="s">
        <v>1013</v>
      </c>
      <c r="G161" s="73"/>
      <c r="H161" s="140"/>
      <c r="I161" s="73" t="s">
        <v>1014</v>
      </c>
      <c r="J161" s="73"/>
      <c r="K161" s="65"/>
      <c r="L161" s="65"/>
      <c r="M161" s="65"/>
      <c r="N161" s="65"/>
      <c r="O161" s="65"/>
      <c r="P161" s="65"/>
      <c r="Q161" s="65"/>
      <c r="R161" s="65"/>
      <c r="S161" s="65"/>
      <c r="T161" s="65"/>
      <c r="U161" s="65"/>
      <c r="V161" s="65"/>
      <c r="W161" s="65"/>
      <c r="X161" s="65"/>
      <c r="Y161" s="65"/>
      <c r="Z161" s="65"/>
    </row>
    <row r="162">
      <c r="A162" s="129">
        <v>33.0</v>
      </c>
      <c r="B162" s="73" t="s">
        <v>337</v>
      </c>
      <c r="C162" s="73" t="s">
        <v>328</v>
      </c>
      <c r="D162" s="73" t="s">
        <v>1015</v>
      </c>
      <c r="E162" s="73" t="s">
        <v>881</v>
      </c>
      <c r="F162" s="73" t="s">
        <v>1016</v>
      </c>
      <c r="G162" s="73" t="s">
        <v>1017</v>
      </c>
      <c r="H162" s="140"/>
      <c r="I162" s="73" t="s">
        <v>367</v>
      </c>
      <c r="J162" s="73"/>
      <c r="K162" s="65"/>
      <c r="L162" s="65"/>
      <c r="M162" s="65"/>
      <c r="N162" s="65"/>
      <c r="O162" s="65"/>
      <c r="P162" s="65"/>
      <c r="Q162" s="65"/>
      <c r="R162" s="65"/>
      <c r="S162" s="65"/>
      <c r="T162" s="65"/>
      <c r="U162" s="65"/>
      <c r="V162" s="65"/>
      <c r="W162" s="65"/>
      <c r="X162" s="65"/>
      <c r="Y162" s="65"/>
      <c r="Z162" s="65"/>
    </row>
    <row r="163">
      <c r="A163" s="129">
        <v>34.0</v>
      </c>
      <c r="B163" s="73" t="s">
        <v>1018</v>
      </c>
      <c r="C163" s="73" t="s">
        <v>328</v>
      </c>
      <c r="D163" s="73" t="s">
        <v>1019</v>
      </c>
      <c r="E163" s="73" t="s">
        <v>881</v>
      </c>
      <c r="F163" s="73" t="s">
        <v>1020</v>
      </c>
      <c r="G163" s="73"/>
      <c r="H163" s="140"/>
      <c r="I163" s="73" t="s">
        <v>1021</v>
      </c>
      <c r="J163" s="73"/>
      <c r="K163" s="65"/>
      <c r="L163" s="65"/>
      <c r="M163" s="65"/>
      <c r="N163" s="65"/>
      <c r="O163" s="65"/>
      <c r="P163" s="65"/>
      <c r="Q163" s="65"/>
      <c r="R163" s="65"/>
      <c r="S163" s="65"/>
      <c r="T163" s="65"/>
      <c r="U163" s="65"/>
      <c r="V163" s="65"/>
      <c r="W163" s="65"/>
      <c r="X163" s="65"/>
      <c r="Y163" s="65"/>
      <c r="Z163" s="65"/>
    </row>
    <row r="164">
      <c r="A164" s="129">
        <v>35.0</v>
      </c>
      <c r="B164" s="73" t="s">
        <v>1022</v>
      </c>
      <c r="C164" s="73" t="s">
        <v>328</v>
      </c>
      <c r="D164" s="73" t="s">
        <v>1023</v>
      </c>
      <c r="E164" s="73" t="s">
        <v>881</v>
      </c>
      <c r="F164" s="73" t="s">
        <v>493</v>
      </c>
      <c r="G164" s="73"/>
      <c r="H164" s="140"/>
      <c r="I164" s="73" t="s">
        <v>1014</v>
      </c>
      <c r="J164" s="73"/>
      <c r="K164" s="65"/>
      <c r="L164" s="65"/>
      <c r="M164" s="65"/>
      <c r="N164" s="65"/>
      <c r="O164" s="65"/>
      <c r="P164" s="65"/>
      <c r="Q164" s="65"/>
      <c r="R164" s="65"/>
      <c r="S164" s="65"/>
      <c r="T164" s="65"/>
      <c r="U164" s="65"/>
      <c r="V164" s="65"/>
      <c r="W164" s="65"/>
      <c r="X164" s="65"/>
      <c r="Y164" s="65"/>
      <c r="Z164" s="65"/>
    </row>
    <row r="165">
      <c r="A165" s="129">
        <v>36.0</v>
      </c>
      <c r="B165" s="73" t="s">
        <v>1024</v>
      </c>
      <c r="C165" s="73" t="s">
        <v>186</v>
      </c>
      <c r="D165" s="73" t="s">
        <v>1025</v>
      </c>
      <c r="E165" s="73" t="s">
        <v>881</v>
      </c>
      <c r="F165" s="73" t="s">
        <v>493</v>
      </c>
      <c r="G165" s="73" t="s">
        <v>1026</v>
      </c>
      <c r="H165" s="140" t="s">
        <v>494</v>
      </c>
      <c r="I165" s="73" t="s">
        <v>160</v>
      </c>
      <c r="J165" s="73" t="s">
        <v>1023</v>
      </c>
      <c r="K165" s="65"/>
      <c r="L165" s="65"/>
      <c r="M165" s="65"/>
      <c r="N165" s="65"/>
      <c r="O165" s="65"/>
      <c r="P165" s="65"/>
      <c r="Q165" s="65"/>
      <c r="R165" s="65"/>
      <c r="S165" s="65"/>
      <c r="T165" s="65"/>
      <c r="U165" s="65"/>
      <c r="V165" s="65"/>
      <c r="W165" s="65"/>
      <c r="X165" s="65"/>
      <c r="Y165" s="65"/>
      <c r="Z165" s="65"/>
    </row>
    <row r="166">
      <c r="A166" s="129">
        <v>37.0</v>
      </c>
      <c r="B166" s="73" t="s">
        <v>1027</v>
      </c>
      <c r="C166" s="73" t="s">
        <v>186</v>
      </c>
      <c r="D166" s="73" t="s">
        <v>1025</v>
      </c>
      <c r="E166" s="73" t="s">
        <v>881</v>
      </c>
      <c r="F166" s="73" t="s">
        <v>493</v>
      </c>
      <c r="G166" s="73" t="s">
        <v>1028</v>
      </c>
      <c r="H166" s="140" t="s">
        <v>210</v>
      </c>
      <c r="I166" s="73" t="s">
        <v>160</v>
      </c>
      <c r="J166" s="73" t="s">
        <v>1023</v>
      </c>
      <c r="K166" s="65"/>
      <c r="L166" s="65"/>
      <c r="M166" s="65"/>
      <c r="N166" s="65"/>
      <c r="O166" s="65"/>
      <c r="P166" s="65"/>
      <c r="Q166" s="65"/>
      <c r="R166" s="65"/>
      <c r="S166" s="65"/>
      <c r="T166" s="65"/>
      <c r="U166" s="65"/>
      <c r="V166" s="65"/>
      <c r="W166" s="65"/>
      <c r="X166" s="65"/>
      <c r="Y166" s="65"/>
      <c r="Z166" s="65"/>
    </row>
    <row r="167">
      <c r="A167" s="109"/>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99"/>
      <c r="B168" s="111" t="s">
        <v>1029</v>
      </c>
      <c r="C168" s="102"/>
      <c r="D168" s="102"/>
      <c r="E168" s="102"/>
      <c r="F168" s="102"/>
      <c r="G168" s="102"/>
      <c r="H168" s="102"/>
      <c r="I168" s="102"/>
      <c r="J168" s="56"/>
      <c r="K168" s="113" t="s">
        <v>1030</v>
      </c>
      <c r="L168" s="113" t="s">
        <v>560</v>
      </c>
      <c r="M168" s="113" t="s">
        <v>561</v>
      </c>
      <c r="N168" s="113" t="s">
        <v>562</v>
      </c>
      <c r="O168" s="113" t="s">
        <v>563</v>
      </c>
      <c r="P168" s="113" t="s">
        <v>564</v>
      </c>
      <c r="Q168" s="88"/>
      <c r="R168" s="88"/>
      <c r="S168" s="88"/>
      <c r="T168" s="88"/>
      <c r="U168" s="88"/>
      <c r="V168" s="88"/>
      <c r="W168" s="88"/>
      <c r="X168" s="88"/>
      <c r="Y168" s="88"/>
      <c r="Z168" s="88"/>
    </row>
    <row r="169">
      <c r="A169" s="104"/>
      <c r="B169" s="105" t="s">
        <v>565</v>
      </c>
      <c r="C169" s="106" t="s">
        <v>1031</v>
      </c>
      <c r="D169" s="102"/>
      <c r="E169" s="102"/>
      <c r="F169" s="102"/>
      <c r="G169" s="102"/>
      <c r="H169" s="102"/>
      <c r="I169" s="102"/>
      <c r="J169" s="56"/>
      <c r="K169" s="131" t="s">
        <v>567</v>
      </c>
      <c r="L169" s="132">
        <v>3.0</v>
      </c>
      <c r="M169" s="132">
        <v>1.0</v>
      </c>
      <c r="N169" s="132">
        <v>4.0</v>
      </c>
      <c r="O169" s="132">
        <v>3.0</v>
      </c>
      <c r="P169" s="132">
        <v>1.0</v>
      </c>
      <c r="Q169" s="88">
        <f t="shared" ref="Q169:Q172" si="2">SUM(L169:P169)</f>
        <v>12</v>
      </c>
      <c r="R169" s="143">
        <f t="shared" ref="R169:R172" si="3">Q169/Q110-100%</f>
        <v>0.2</v>
      </c>
      <c r="S169" s="88"/>
      <c r="T169" s="88"/>
      <c r="U169" s="88"/>
      <c r="V169" s="88"/>
      <c r="W169" s="88"/>
      <c r="X169" s="88"/>
      <c r="Y169" s="88"/>
      <c r="Z169" s="88"/>
    </row>
    <row r="170">
      <c r="A170" s="104"/>
      <c r="B170" s="105" t="s">
        <v>568</v>
      </c>
      <c r="C170" s="106" t="s">
        <v>1032</v>
      </c>
      <c r="D170" s="102"/>
      <c r="E170" s="102"/>
      <c r="F170" s="102"/>
      <c r="G170" s="102"/>
      <c r="H170" s="102"/>
      <c r="I170" s="102"/>
      <c r="J170" s="56"/>
      <c r="K170" s="131" t="s">
        <v>570</v>
      </c>
      <c r="L170" s="132">
        <v>3.0</v>
      </c>
      <c r="M170" s="132">
        <v>1.0</v>
      </c>
      <c r="N170" s="132">
        <v>1.0</v>
      </c>
      <c r="O170" s="132"/>
      <c r="P170" s="133"/>
      <c r="Q170" s="88">
        <f t="shared" si="2"/>
        <v>5</v>
      </c>
      <c r="R170" s="143">
        <f t="shared" si="3"/>
        <v>0.25</v>
      </c>
      <c r="S170" s="88"/>
      <c r="T170" s="88"/>
      <c r="U170" s="88"/>
      <c r="V170" s="88"/>
      <c r="W170" s="88"/>
      <c r="X170" s="88"/>
      <c r="Y170" s="88"/>
      <c r="Z170" s="88"/>
    </row>
    <row r="171">
      <c r="A171" s="104"/>
      <c r="B171" s="105" t="s">
        <v>571</v>
      </c>
      <c r="C171" s="106" t="s">
        <v>1033</v>
      </c>
      <c r="D171" s="102"/>
      <c r="E171" s="102"/>
      <c r="F171" s="102"/>
      <c r="G171" s="102"/>
      <c r="H171" s="102"/>
      <c r="I171" s="102"/>
      <c r="J171" s="56"/>
      <c r="K171" s="134" t="s">
        <v>573</v>
      </c>
      <c r="L171" s="132">
        <v>5.0</v>
      </c>
      <c r="M171" s="132">
        <v>1.0</v>
      </c>
      <c r="N171" s="132">
        <v>4.0</v>
      </c>
      <c r="O171" s="132">
        <v>9.0</v>
      </c>
      <c r="P171" s="132">
        <v>7.0</v>
      </c>
      <c r="Q171" s="88">
        <f t="shared" si="2"/>
        <v>26</v>
      </c>
      <c r="R171" s="143">
        <f t="shared" si="3"/>
        <v>0.625</v>
      </c>
      <c r="S171" s="88"/>
      <c r="T171" s="88"/>
      <c r="U171" s="88"/>
      <c r="V171" s="88"/>
      <c r="W171" s="88"/>
      <c r="X171" s="88"/>
      <c r="Y171" s="88"/>
      <c r="Z171" s="88"/>
    </row>
    <row r="172">
      <c r="A172" s="104"/>
      <c r="B172" s="105" t="s">
        <v>574</v>
      </c>
      <c r="C172" s="106" t="s">
        <v>1034</v>
      </c>
      <c r="D172" s="102"/>
      <c r="E172" s="102"/>
      <c r="F172" s="102"/>
      <c r="G172" s="102"/>
      <c r="H172" s="102"/>
      <c r="I172" s="102"/>
      <c r="J172" s="56"/>
      <c r="K172" s="134" t="s">
        <v>576</v>
      </c>
      <c r="L172" s="132" t="s">
        <v>1035</v>
      </c>
      <c r="M172" s="132"/>
      <c r="N172" s="132">
        <v>1.0</v>
      </c>
      <c r="O172" s="132">
        <v>8.0</v>
      </c>
      <c r="P172" s="132">
        <v>1.0</v>
      </c>
      <c r="Q172" s="88">
        <f t="shared" si="2"/>
        <v>10</v>
      </c>
      <c r="R172" s="143">
        <f t="shared" si="3"/>
        <v>0.1111111111</v>
      </c>
      <c r="S172" s="88"/>
      <c r="T172" s="88"/>
      <c r="U172" s="88"/>
      <c r="V172" s="88"/>
      <c r="W172" s="88"/>
      <c r="X172" s="88"/>
      <c r="Y172" s="88"/>
      <c r="Z172" s="88"/>
    </row>
    <row r="173">
      <c r="A173" s="104"/>
      <c r="B173" s="105" t="s">
        <v>577</v>
      </c>
      <c r="C173" s="106" t="s">
        <v>1036</v>
      </c>
      <c r="D173" s="102"/>
      <c r="E173" s="102"/>
      <c r="F173" s="102"/>
      <c r="G173" s="102"/>
      <c r="H173" s="102"/>
      <c r="I173" s="102"/>
      <c r="J173" s="56"/>
      <c r="K173" s="135"/>
      <c r="L173" s="135"/>
      <c r="M173" s="135"/>
      <c r="N173" s="135"/>
      <c r="O173" s="135"/>
      <c r="P173" s="135"/>
      <c r="Q173" s="88"/>
      <c r="R173" s="88"/>
      <c r="S173" s="88"/>
      <c r="T173" s="88"/>
      <c r="U173" s="88"/>
      <c r="V173" s="88"/>
      <c r="W173" s="88"/>
      <c r="X173" s="88"/>
      <c r="Y173" s="88"/>
      <c r="Z173" s="88"/>
    </row>
    <row r="174">
      <c r="A174" s="104"/>
      <c r="B174" s="105" t="s">
        <v>579</v>
      </c>
      <c r="C174" s="106" t="s">
        <v>1037</v>
      </c>
      <c r="D174" s="102"/>
      <c r="E174" s="102"/>
      <c r="F174" s="102"/>
      <c r="G174" s="102"/>
      <c r="H174" s="102"/>
      <c r="I174" s="102"/>
      <c r="J174" s="56"/>
      <c r="K174" s="135"/>
      <c r="L174" s="135"/>
      <c r="M174" s="135"/>
      <c r="N174" s="135"/>
      <c r="O174" s="135"/>
      <c r="P174" s="135"/>
      <c r="Q174" s="136">
        <f>SUM(Q169:Q173)</f>
        <v>53</v>
      </c>
      <c r="R174" s="75" t="s">
        <v>1038</v>
      </c>
      <c r="S174" s="88"/>
      <c r="T174" s="88"/>
      <c r="U174" s="88"/>
      <c r="V174" s="88"/>
      <c r="W174" s="88"/>
      <c r="X174" s="88"/>
      <c r="Y174" s="88"/>
      <c r="Z174" s="88"/>
    </row>
    <row r="175">
      <c r="A175" s="109"/>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109"/>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99"/>
      <c r="B177" s="111" t="s">
        <v>1039</v>
      </c>
      <c r="C177" s="102"/>
      <c r="D177" s="102"/>
      <c r="E177" s="102"/>
      <c r="F177" s="102"/>
      <c r="G177" s="102"/>
      <c r="H177" s="102"/>
      <c r="I177" s="102"/>
      <c r="J177" s="56"/>
      <c r="K177" s="103"/>
      <c r="Q177" s="65"/>
      <c r="R177" s="65"/>
      <c r="S177" s="65"/>
      <c r="T177" s="65"/>
      <c r="U177" s="65"/>
      <c r="V177" s="65"/>
      <c r="W177" s="65"/>
      <c r="X177" s="65"/>
      <c r="Y177" s="65"/>
      <c r="Z177" s="65"/>
    </row>
    <row r="178">
      <c r="A178" s="112"/>
      <c r="B178" s="78"/>
      <c r="C178" s="28" t="s">
        <v>581</v>
      </c>
      <c r="D178" s="28" t="s">
        <v>582</v>
      </c>
      <c r="E178" s="28" t="s">
        <v>583</v>
      </c>
      <c r="F178" s="113" t="s">
        <v>1040</v>
      </c>
      <c r="G178" s="113" t="s">
        <v>561</v>
      </c>
      <c r="H178" s="113" t="s">
        <v>562</v>
      </c>
      <c r="I178" s="113" t="s">
        <v>563</v>
      </c>
      <c r="J178" s="113" t="s">
        <v>1041</v>
      </c>
      <c r="K178" s="86"/>
      <c r="Q178" s="65"/>
      <c r="R178" s="65"/>
      <c r="S178" s="65"/>
      <c r="T178" s="65"/>
      <c r="U178" s="65"/>
      <c r="V178" s="65"/>
      <c r="W178" s="65"/>
      <c r="X178" s="65"/>
      <c r="Y178" s="65"/>
      <c r="Z178" s="65"/>
    </row>
    <row r="179">
      <c r="A179" s="112"/>
      <c r="B179" s="78"/>
      <c r="C179" s="73" t="s">
        <v>1042</v>
      </c>
      <c r="D179" s="73" t="s">
        <v>1043</v>
      </c>
      <c r="E179" s="73" t="s">
        <v>1044</v>
      </c>
      <c r="F179" s="73" t="s">
        <v>1045</v>
      </c>
      <c r="G179" s="20" t="s">
        <v>1046</v>
      </c>
      <c r="H179" s="87" t="s">
        <v>1047</v>
      </c>
      <c r="I179" s="20" t="s">
        <v>1048</v>
      </c>
      <c r="J179" s="20" t="s">
        <v>1049</v>
      </c>
      <c r="K179" s="65"/>
      <c r="M179" s="114"/>
      <c r="O179" s="114"/>
      <c r="P179" s="114"/>
      <c r="Q179" s="65"/>
      <c r="R179" s="65"/>
      <c r="S179" s="65"/>
      <c r="T179" s="65"/>
      <c r="U179" s="65"/>
      <c r="V179" s="65"/>
      <c r="W179" s="65"/>
      <c r="X179" s="65"/>
      <c r="Y179" s="65"/>
      <c r="Z179" s="65"/>
    </row>
    <row r="180">
      <c r="A180" s="112"/>
      <c r="B180" s="78"/>
      <c r="C180" s="73" t="s">
        <v>1050</v>
      </c>
      <c r="D180" s="73" t="s">
        <v>1051</v>
      </c>
      <c r="E180" s="144" t="s">
        <v>1052</v>
      </c>
      <c r="F180" s="56"/>
      <c r="G180" s="145" t="s">
        <v>1053</v>
      </c>
      <c r="H180" s="56"/>
      <c r="I180" s="87" t="s">
        <v>1054</v>
      </c>
      <c r="J180" s="73"/>
      <c r="K180" s="65"/>
      <c r="M180" s="114"/>
      <c r="O180" s="114"/>
      <c r="P180" s="114"/>
      <c r="Q180" s="65"/>
      <c r="R180" s="65"/>
      <c r="S180" s="65"/>
      <c r="T180" s="65"/>
      <c r="U180" s="65"/>
      <c r="V180" s="65"/>
      <c r="W180" s="65"/>
      <c r="X180" s="65"/>
      <c r="Y180" s="65"/>
      <c r="Z180" s="65"/>
    </row>
    <row r="181">
      <c r="A181" s="112"/>
      <c r="B181" s="78"/>
      <c r="C181" s="73" t="s">
        <v>1055</v>
      </c>
      <c r="D181" s="73" t="s">
        <v>1056</v>
      </c>
      <c r="E181" s="73" t="s">
        <v>1057</v>
      </c>
      <c r="F181" s="87" t="s">
        <v>1058</v>
      </c>
      <c r="G181" s="146" t="s">
        <v>1059</v>
      </c>
      <c r="H181" s="56"/>
      <c r="I181" s="87" t="s">
        <v>1060</v>
      </c>
      <c r="J181" s="78"/>
      <c r="K181" s="65"/>
      <c r="L181" s="114"/>
      <c r="M181" s="114"/>
      <c r="N181" s="114"/>
      <c r="O181" s="114"/>
      <c r="P181" s="114"/>
      <c r="Q181" s="65"/>
      <c r="R181" s="65"/>
      <c r="S181" s="65"/>
      <c r="T181" s="65"/>
      <c r="U181" s="65"/>
      <c r="V181" s="65"/>
      <c r="W181" s="65"/>
      <c r="X181" s="65"/>
      <c r="Y181" s="65"/>
      <c r="Z181" s="65"/>
    </row>
    <row r="182">
      <c r="A182" s="112"/>
      <c r="B182" s="78"/>
      <c r="C182" s="73"/>
      <c r="D182" s="144" t="s">
        <v>1061</v>
      </c>
      <c r="E182" s="56"/>
      <c r="F182" s="87" t="s">
        <v>1062</v>
      </c>
      <c r="G182" s="73" t="s">
        <v>1063</v>
      </c>
      <c r="H182" s="73" t="s">
        <v>1064</v>
      </c>
      <c r="I182" s="73" t="s">
        <v>849</v>
      </c>
      <c r="J182" s="78"/>
      <c r="K182" s="65"/>
      <c r="L182" s="114"/>
      <c r="M182" s="114"/>
      <c r="N182" s="114"/>
      <c r="O182" s="114"/>
      <c r="P182" s="114"/>
      <c r="Q182" s="65"/>
      <c r="R182" s="65"/>
      <c r="S182" s="65"/>
      <c r="T182" s="65"/>
      <c r="U182" s="65"/>
      <c r="V182" s="65"/>
      <c r="W182" s="65"/>
      <c r="X182" s="65"/>
      <c r="Y182" s="65"/>
      <c r="Z182" s="65"/>
    </row>
    <row r="183">
      <c r="A183" s="112"/>
      <c r="B183" s="78"/>
      <c r="C183" s="73"/>
      <c r="D183" s="144" t="s">
        <v>1065</v>
      </c>
      <c r="E183" s="56"/>
      <c r="F183" s="87"/>
      <c r="G183" s="73"/>
      <c r="H183" s="73" t="s">
        <v>1066</v>
      </c>
      <c r="I183" s="73" t="s">
        <v>1067</v>
      </c>
      <c r="J183" s="78"/>
      <c r="K183" s="65"/>
      <c r="L183" s="114"/>
      <c r="M183" s="114"/>
      <c r="N183" s="114"/>
      <c r="O183" s="114"/>
      <c r="P183" s="114"/>
      <c r="Q183" s="65"/>
      <c r="R183" s="65"/>
      <c r="S183" s="65"/>
      <c r="T183" s="65"/>
      <c r="U183" s="65"/>
      <c r="V183" s="65"/>
      <c r="W183" s="65"/>
      <c r="X183" s="65"/>
      <c r="Y183" s="65"/>
      <c r="Z183" s="65"/>
    </row>
    <row r="184">
      <c r="A184" s="112"/>
      <c r="B184" s="78"/>
      <c r="C184" s="73"/>
      <c r="D184" s="73" t="s">
        <v>1068</v>
      </c>
      <c r="E184" s="73" t="s">
        <v>1069</v>
      </c>
      <c r="F184" s="87"/>
      <c r="G184" s="73"/>
      <c r="H184" s="73"/>
      <c r="I184" s="73"/>
      <c r="J184" s="78"/>
      <c r="K184" s="65"/>
      <c r="L184" s="114"/>
      <c r="M184" s="114"/>
      <c r="N184" s="114"/>
      <c r="O184" s="114"/>
      <c r="P184" s="114"/>
      <c r="Q184" s="65"/>
      <c r="R184" s="65"/>
      <c r="S184" s="65"/>
      <c r="T184" s="65"/>
      <c r="U184" s="65"/>
      <c r="V184" s="65"/>
      <c r="W184" s="65"/>
      <c r="X184" s="65"/>
      <c r="Y184" s="65"/>
      <c r="Z184" s="65"/>
    </row>
    <row r="185">
      <c r="A185" s="112"/>
      <c r="B185" s="78"/>
      <c r="C185" s="73"/>
      <c r="D185" s="73" t="s">
        <v>1070</v>
      </c>
      <c r="E185" s="73"/>
      <c r="F185" s="87"/>
      <c r="G185" s="73"/>
      <c r="H185" s="73"/>
      <c r="I185" s="73"/>
      <c r="J185" s="78"/>
      <c r="K185" s="65"/>
      <c r="L185" s="114"/>
      <c r="M185" s="114"/>
      <c r="N185" s="114"/>
      <c r="O185" s="114"/>
      <c r="P185" s="114"/>
      <c r="Q185" s="65"/>
      <c r="R185" s="65"/>
      <c r="S185" s="65"/>
      <c r="T185" s="65"/>
      <c r="U185" s="65"/>
      <c r="V185" s="65"/>
      <c r="W185" s="65"/>
      <c r="X185" s="65"/>
      <c r="Y185" s="65"/>
      <c r="Z185" s="65"/>
    </row>
    <row r="186">
      <c r="A186" s="112"/>
      <c r="B186" s="78"/>
      <c r="C186" s="73"/>
      <c r="D186" s="73" t="s">
        <v>1071</v>
      </c>
      <c r="E186" s="73"/>
      <c r="F186" s="87"/>
      <c r="G186" s="73"/>
      <c r="H186" s="73"/>
      <c r="I186" s="73"/>
      <c r="J186" s="78"/>
      <c r="K186" s="65"/>
      <c r="L186" s="114"/>
      <c r="M186" s="114"/>
      <c r="N186" s="114"/>
      <c r="O186" s="114"/>
      <c r="P186" s="114"/>
      <c r="Q186" s="65"/>
      <c r="R186" s="65"/>
      <c r="S186" s="65"/>
      <c r="T186" s="65"/>
      <c r="U186" s="65"/>
      <c r="V186" s="65"/>
      <c r="W186" s="65"/>
      <c r="X186" s="65"/>
      <c r="Y186" s="65"/>
      <c r="Z186" s="65"/>
    </row>
    <row r="187">
      <c r="A187" s="112"/>
      <c r="B187" s="78"/>
      <c r="C187" s="73"/>
      <c r="D187" s="73" t="s">
        <v>1072</v>
      </c>
      <c r="E187" s="73"/>
      <c r="F187" s="87"/>
      <c r="G187" s="73"/>
      <c r="H187" s="73"/>
      <c r="I187" s="73"/>
      <c r="J187" s="78"/>
      <c r="K187" s="65"/>
      <c r="L187" s="114"/>
      <c r="M187" s="114"/>
      <c r="N187" s="114"/>
      <c r="O187" s="114"/>
      <c r="P187" s="114"/>
      <c r="Q187" s="65"/>
      <c r="R187" s="65"/>
      <c r="S187" s="65"/>
      <c r="T187" s="65"/>
      <c r="U187" s="65"/>
      <c r="V187" s="65"/>
      <c r="W187" s="65"/>
      <c r="X187" s="65"/>
      <c r="Y187" s="65"/>
      <c r="Z187" s="65"/>
    </row>
    <row r="188">
      <c r="A188" s="129">
        <v>1.0</v>
      </c>
      <c r="B188" s="73" t="s">
        <v>356</v>
      </c>
      <c r="C188" s="73" t="s">
        <v>357</v>
      </c>
      <c r="D188" s="73" t="s">
        <v>358</v>
      </c>
      <c r="E188" s="73"/>
      <c r="F188" s="97" t="s">
        <v>1073</v>
      </c>
      <c r="G188" s="73" t="s">
        <v>665</v>
      </c>
      <c r="H188" s="73" t="s">
        <v>666</v>
      </c>
      <c r="I188" s="73" t="s">
        <v>667</v>
      </c>
      <c r="J188" s="73"/>
      <c r="K188" s="65"/>
      <c r="L188" s="114"/>
      <c r="M188" s="114"/>
      <c r="N188" s="114"/>
      <c r="O188" s="114"/>
      <c r="P188" s="114"/>
      <c r="Q188" s="65"/>
      <c r="R188" s="65"/>
      <c r="S188" s="65"/>
      <c r="T188" s="65"/>
      <c r="U188" s="65"/>
      <c r="V188" s="65"/>
      <c r="W188" s="65"/>
      <c r="X188" s="65"/>
      <c r="Y188" s="65"/>
      <c r="Z188" s="65"/>
    </row>
    <row r="189">
      <c r="A189" s="129">
        <v>2.0</v>
      </c>
      <c r="B189" s="87" t="s">
        <v>546</v>
      </c>
      <c r="C189" s="73" t="s">
        <v>328</v>
      </c>
      <c r="D189" s="73" t="s">
        <v>1074</v>
      </c>
      <c r="E189" s="73" t="s">
        <v>1075</v>
      </c>
      <c r="F189" s="73" t="s">
        <v>1076</v>
      </c>
      <c r="G189" s="73" t="s">
        <v>1077</v>
      </c>
      <c r="H189" s="73" t="s">
        <v>549</v>
      </c>
      <c r="I189" s="73" t="s">
        <v>125</v>
      </c>
      <c r="J189" s="73" t="s">
        <v>1078</v>
      </c>
      <c r="K189" s="65"/>
      <c r="L189" s="65"/>
      <c r="M189" s="65"/>
      <c r="N189" s="65"/>
      <c r="O189" s="65"/>
      <c r="P189" s="65"/>
      <c r="Q189" s="65"/>
      <c r="R189" s="65"/>
      <c r="S189" s="65"/>
      <c r="T189" s="65"/>
      <c r="U189" s="65"/>
      <c r="V189" s="65"/>
      <c r="W189" s="65"/>
      <c r="X189" s="65"/>
      <c r="Y189" s="65"/>
      <c r="Z189" s="65"/>
    </row>
    <row r="190">
      <c r="A190" s="129">
        <v>3.0</v>
      </c>
      <c r="B190" s="141" t="s">
        <v>36</v>
      </c>
      <c r="C190" s="73" t="s">
        <v>186</v>
      </c>
      <c r="D190" s="73" t="s">
        <v>1079</v>
      </c>
      <c r="E190" s="73" t="s">
        <v>1080</v>
      </c>
      <c r="F190" s="73" t="s">
        <v>1081</v>
      </c>
      <c r="G190" s="73" t="s">
        <v>1082</v>
      </c>
      <c r="H190" s="140" t="s">
        <v>210</v>
      </c>
      <c r="I190" s="73" t="s">
        <v>42</v>
      </c>
      <c r="J190" s="73" t="s">
        <v>1083</v>
      </c>
      <c r="K190" s="65"/>
      <c r="L190" s="65"/>
      <c r="M190" s="65"/>
      <c r="N190" s="65"/>
      <c r="O190" s="65"/>
      <c r="P190" s="65"/>
      <c r="Q190" s="65"/>
      <c r="R190" s="65"/>
      <c r="S190" s="65"/>
      <c r="T190" s="65"/>
      <c r="U190" s="65"/>
      <c r="V190" s="65"/>
      <c r="W190" s="65"/>
      <c r="X190" s="65"/>
      <c r="Y190" s="65"/>
      <c r="Z190" s="65"/>
    </row>
    <row r="191">
      <c r="A191" s="129">
        <v>4.0</v>
      </c>
      <c r="B191" s="73" t="s">
        <v>71</v>
      </c>
      <c r="C191" s="73" t="s">
        <v>328</v>
      </c>
      <c r="D191" s="73" t="s">
        <v>1084</v>
      </c>
      <c r="E191" s="73" t="s">
        <v>1080</v>
      </c>
      <c r="F191" s="73" t="s">
        <v>1085</v>
      </c>
      <c r="G191" s="73" t="s">
        <v>1086</v>
      </c>
      <c r="H191" s="140" t="s">
        <v>210</v>
      </c>
      <c r="I191" s="73" t="s">
        <v>1087</v>
      </c>
      <c r="J191" s="73" t="s">
        <v>1088</v>
      </c>
      <c r="K191" s="65"/>
      <c r="L191" s="65"/>
      <c r="M191" s="65"/>
      <c r="N191" s="65"/>
      <c r="O191" s="65"/>
      <c r="P191" s="65"/>
      <c r="Q191" s="65"/>
      <c r="R191" s="65"/>
      <c r="S191" s="65"/>
      <c r="T191" s="65"/>
      <c r="U191" s="65"/>
      <c r="V191" s="65"/>
      <c r="W191" s="65"/>
      <c r="X191" s="65"/>
      <c r="Y191" s="65"/>
      <c r="Z191" s="65"/>
    </row>
    <row r="192">
      <c r="A192" s="129">
        <v>5.0</v>
      </c>
      <c r="B192" s="73" t="s">
        <v>812</v>
      </c>
      <c r="C192" s="73" t="s">
        <v>328</v>
      </c>
      <c r="D192" s="73" t="s">
        <v>1008</v>
      </c>
      <c r="E192" s="73" t="s">
        <v>1080</v>
      </c>
      <c r="F192" s="73"/>
      <c r="G192" s="73" t="s">
        <v>1089</v>
      </c>
      <c r="H192" s="140"/>
      <c r="I192" s="73" t="s">
        <v>361</v>
      </c>
      <c r="J192" s="73"/>
      <c r="K192" s="65"/>
      <c r="L192" s="65"/>
      <c r="M192" s="65"/>
      <c r="N192" s="65"/>
      <c r="O192" s="65"/>
      <c r="P192" s="65"/>
      <c r="Q192" s="65"/>
      <c r="R192" s="65"/>
      <c r="S192" s="65"/>
      <c r="T192" s="65"/>
      <c r="U192" s="65"/>
      <c r="V192" s="65"/>
      <c r="W192" s="65"/>
      <c r="X192" s="65"/>
      <c r="Y192" s="65"/>
      <c r="Z192" s="65"/>
    </row>
    <row r="193">
      <c r="A193" s="129">
        <v>6.0</v>
      </c>
      <c r="B193" s="22" t="s">
        <v>1090</v>
      </c>
      <c r="C193" s="73" t="s">
        <v>186</v>
      </c>
      <c r="D193" s="73" t="s">
        <v>1091</v>
      </c>
      <c r="E193" s="22" t="s">
        <v>983</v>
      </c>
      <c r="F193" s="147" t="s">
        <v>1092</v>
      </c>
      <c r="G193" s="73" t="s">
        <v>1093</v>
      </c>
      <c r="H193" s="22" t="s">
        <v>210</v>
      </c>
      <c r="I193" s="20" t="s">
        <v>1094</v>
      </c>
      <c r="J193" s="20" t="s">
        <v>1095</v>
      </c>
      <c r="K193" s="65"/>
      <c r="L193" s="65"/>
      <c r="M193" s="65"/>
      <c r="N193" s="65"/>
      <c r="O193" s="65"/>
      <c r="P193" s="65"/>
      <c r="Q193" s="65"/>
      <c r="R193" s="65"/>
      <c r="S193" s="65"/>
      <c r="T193" s="65"/>
      <c r="U193" s="65"/>
      <c r="V193" s="65"/>
      <c r="W193" s="65"/>
      <c r="X193" s="65"/>
      <c r="Y193" s="65"/>
      <c r="Z193" s="65"/>
    </row>
    <row r="194">
      <c r="A194" s="129">
        <v>7.0</v>
      </c>
      <c r="B194" s="22" t="s">
        <v>471</v>
      </c>
      <c r="C194" s="73" t="s">
        <v>328</v>
      </c>
      <c r="D194" s="148" t="s">
        <v>1096</v>
      </c>
      <c r="E194" s="149" t="s">
        <v>1097</v>
      </c>
      <c r="F194" s="125" t="s">
        <v>1098</v>
      </c>
      <c r="G194" s="148" t="s">
        <v>1099</v>
      </c>
      <c r="H194" s="148" t="s">
        <v>1100</v>
      </c>
      <c r="I194" s="148" t="s">
        <v>125</v>
      </c>
      <c r="J194" s="20" t="s">
        <v>1101</v>
      </c>
      <c r="K194" s="65"/>
      <c r="L194" s="65"/>
      <c r="M194" s="65"/>
      <c r="N194" s="65"/>
      <c r="O194" s="65"/>
      <c r="P194" s="65"/>
      <c r="Q194" s="65"/>
      <c r="R194" s="65"/>
      <c r="S194" s="65"/>
      <c r="T194" s="65"/>
      <c r="U194" s="65"/>
      <c r="V194" s="65"/>
      <c r="W194" s="65"/>
      <c r="X194" s="65"/>
      <c r="Y194" s="65"/>
      <c r="Z194" s="65"/>
    </row>
    <row r="195">
      <c r="A195" s="129">
        <v>8.0</v>
      </c>
      <c r="B195" s="22" t="s">
        <v>1102</v>
      </c>
      <c r="C195" s="73" t="s">
        <v>328</v>
      </c>
      <c r="D195" s="20" t="s">
        <v>1103</v>
      </c>
      <c r="E195" s="20" t="s">
        <v>1104</v>
      </c>
      <c r="F195" s="20" t="s">
        <v>901</v>
      </c>
      <c r="G195" s="20" t="s">
        <v>1105</v>
      </c>
      <c r="H195" s="20" t="s">
        <v>1100</v>
      </c>
      <c r="I195" s="20" t="s">
        <v>125</v>
      </c>
      <c r="J195" s="20" t="s">
        <v>1106</v>
      </c>
      <c r="K195" s="65"/>
      <c r="L195" s="65"/>
      <c r="M195" s="65"/>
      <c r="N195" s="65"/>
      <c r="O195" s="65"/>
      <c r="P195" s="65"/>
      <c r="Q195" s="65"/>
      <c r="R195" s="65"/>
      <c r="S195" s="65"/>
      <c r="T195" s="65"/>
      <c r="U195" s="65"/>
      <c r="V195" s="65"/>
      <c r="W195" s="65"/>
      <c r="X195" s="65"/>
      <c r="Y195" s="65"/>
      <c r="Z195" s="65"/>
    </row>
    <row r="196">
      <c r="A196" s="150">
        <v>9.0</v>
      </c>
      <c r="B196" s="151" t="s">
        <v>795</v>
      </c>
      <c r="C196" s="73" t="s">
        <v>328</v>
      </c>
      <c r="D196" s="148" t="s">
        <v>1107</v>
      </c>
      <c r="E196" s="148" t="s">
        <v>1097</v>
      </c>
      <c r="F196" s="148" t="s">
        <v>1108</v>
      </c>
      <c r="G196" s="148" t="s">
        <v>1109</v>
      </c>
      <c r="H196" s="152" t="s">
        <v>1110</v>
      </c>
      <c r="I196" s="152" t="s">
        <v>125</v>
      </c>
      <c r="J196" s="20" t="s">
        <v>1111</v>
      </c>
      <c r="K196" s="65"/>
      <c r="L196" s="65"/>
      <c r="M196" s="65"/>
      <c r="N196" s="65"/>
      <c r="O196" s="65"/>
      <c r="P196" s="65"/>
      <c r="Q196" s="65"/>
      <c r="R196" s="65"/>
      <c r="S196" s="65"/>
      <c r="T196" s="65"/>
      <c r="U196" s="65"/>
      <c r="V196" s="65"/>
      <c r="W196" s="65"/>
      <c r="X196" s="65"/>
      <c r="Y196" s="65"/>
      <c r="Z196" s="65"/>
    </row>
    <row r="197">
      <c r="A197" s="13"/>
      <c r="B197" s="13"/>
      <c r="C197" s="73" t="s">
        <v>328</v>
      </c>
      <c r="D197" s="20" t="s">
        <v>1112</v>
      </c>
      <c r="E197" s="20" t="s">
        <v>1097</v>
      </c>
      <c r="F197" s="20" t="s">
        <v>901</v>
      </c>
      <c r="G197" s="20"/>
      <c r="H197" s="13"/>
      <c r="I197" s="13"/>
      <c r="J197" s="20" t="s">
        <v>1023</v>
      </c>
      <c r="K197" s="65"/>
      <c r="L197" s="65"/>
      <c r="M197" s="65"/>
      <c r="N197" s="65"/>
      <c r="O197" s="65"/>
      <c r="P197" s="65"/>
      <c r="Q197" s="65"/>
      <c r="R197" s="65"/>
      <c r="S197" s="65"/>
      <c r="T197" s="65"/>
      <c r="U197" s="65"/>
      <c r="V197" s="65"/>
      <c r="W197" s="65"/>
      <c r="X197" s="65"/>
      <c r="Y197" s="65"/>
      <c r="Z197" s="65"/>
    </row>
    <row r="198">
      <c r="A198" s="13"/>
      <c r="B198" s="13"/>
      <c r="C198" s="73" t="s">
        <v>328</v>
      </c>
      <c r="D198" s="20" t="s">
        <v>1113</v>
      </c>
      <c r="E198" s="20" t="s">
        <v>1097</v>
      </c>
      <c r="F198" s="20" t="s">
        <v>1114</v>
      </c>
      <c r="G198" s="20" t="s">
        <v>1115</v>
      </c>
      <c r="H198" s="13"/>
      <c r="I198" s="34"/>
      <c r="J198" s="20" t="s">
        <v>1116</v>
      </c>
      <c r="K198" s="65"/>
      <c r="L198" s="65"/>
      <c r="M198" s="65"/>
      <c r="N198" s="65"/>
      <c r="O198" s="65"/>
      <c r="P198" s="65"/>
      <c r="Q198" s="65"/>
      <c r="R198" s="65"/>
      <c r="S198" s="65"/>
      <c r="T198" s="65"/>
      <c r="U198" s="65"/>
      <c r="V198" s="65"/>
      <c r="W198" s="65"/>
      <c r="X198" s="65"/>
      <c r="Y198" s="65"/>
      <c r="Z198" s="65"/>
    </row>
    <row r="199">
      <c r="A199" s="34"/>
      <c r="B199" s="34"/>
      <c r="C199" s="73" t="s">
        <v>328</v>
      </c>
      <c r="D199" s="20" t="s">
        <v>1117</v>
      </c>
      <c r="E199" s="20" t="s">
        <v>1104</v>
      </c>
      <c r="F199" s="20" t="s">
        <v>1118</v>
      </c>
      <c r="G199" s="20"/>
      <c r="H199" s="34"/>
      <c r="I199" s="20" t="s">
        <v>125</v>
      </c>
      <c r="J199" s="20" t="s">
        <v>1119</v>
      </c>
      <c r="K199" s="65"/>
      <c r="L199" s="65"/>
      <c r="M199" s="65"/>
      <c r="N199" s="65"/>
      <c r="O199" s="65"/>
      <c r="P199" s="65"/>
      <c r="Q199" s="65"/>
      <c r="R199" s="65"/>
      <c r="S199" s="65"/>
      <c r="T199" s="65"/>
      <c r="U199" s="65"/>
      <c r="V199" s="65"/>
      <c r="W199" s="65"/>
      <c r="X199" s="65"/>
      <c r="Y199" s="65"/>
      <c r="Z199" s="65"/>
    </row>
    <row r="200">
      <c r="A200" s="150">
        <v>10.0</v>
      </c>
      <c r="B200" s="151" t="s">
        <v>465</v>
      </c>
      <c r="C200" s="76" t="s">
        <v>328</v>
      </c>
      <c r="D200" s="20" t="s">
        <v>1120</v>
      </c>
      <c r="E200" s="20" t="s">
        <v>1097</v>
      </c>
      <c r="F200" s="20" t="s">
        <v>1121</v>
      </c>
      <c r="G200" s="20" t="s">
        <v>1122</v>
      </c>
      <c r="H200" s="152" t="s">
        <v>1100</v>
      </c>
      <c r="I200" s="152" t="s">
        <v>125</v>
      </c>
      <c r="J200" s="20" t="s">
        <v>1123</v>
      </c>
      <c r="K200" s="65"/>
      <c r="L200" s="65"/>
      <c r="M200" s="65"/>
      <c r="N200" s="65"/>
      <c r="O200" s="65"/>
      <c r="P200" s="65"/>
      <c r="Q200" s="65"/>
      <c r="R200" s="65"/>
      <c r="S200" s="65"/>
      <c r="T200" s="65"/>
      <c r="U200" s="65"/>
      <c r="V200" s="65"/>
      <c r="W200" s="65"/>
      <c r="X200" s="65"/>
      <c r="Y200" s="65"/>
      <c r="Z200" s="65"/>
    </row>
    <row r="201">
      <c r="A201" s="34"/>
      <c r="B201" s="34"/>
      <c r="C201" s="34"/>
      <c r="D201" s="148" t="s">
        <v>1124</v>
      </c>
      <c r="E201" s="148" t="s">
        <v>1097</v>
      </c>
      <c r="F201" s="148" t="s">
        <v>1125</v>
      </c>
      <c r="G201" s="148"/>
      <c r="H201" s="34"/>
      <c r="I201" s="34"/>
      <c r="J201" s="20"/>
      <c r="K201" s="65"/>
      <c r="L201" s="65"/>
      <c r="M201" s="65"/>
      <c r="N201" s="65"/>
      <c r="O201" s="65"/>
      <c r="P201" s="65"/>
      <c r="Q201" s="65"/>
      <c r="R201" s="65"/>
      <c r="S201" s="65"/>
      <c r="T201" s="65"/>
      <c r="U201" s="65"/>
      <c r="V201" s="65"/>
      <c r="W201" s="65"/>
      <c r="X201" s="65"/>
      <c r="Y201" s="65"/>
      <c r="Z201" s="65"/>
    </row>
    <row r="202">
      <c r="A202" s="129">
        <v>11.0</v>
      </c>
      <c r="B202" s="22" t="s">
        <v>1126</v>
      </c>
      <c r="C202" s="73" t="s">
        <v>328</v>
      </c>
      <c r="D202" s="20" t="s">
        <v>1127</v>
      </c>
      <c r="E202" s="20" t="s">
        <v>1097</v>
      </c>
      <c r="F202" s="20" t="s">
        <v>1125</v>
      </c>
      <c r="G202" s="20"/>
      <c r="H202" s="20" t="s">
        <v>1100</v>
      </c>
      <c r="I202" s="20" t="s">
        <v>125</v>
      </c>
      <c r="J202" s="20"/>
      <c r="K202" s="65"/>
      <c r="L202" s="65"/>
      <c r="M202" s="65"/>
      <c r="N202" s="65"/>
      <c r="O202" s="65"/>
      <c r="P202" s="65"/>
      <c r="Q202" s="65"/>
      <c r="R202" s="65"/>
      <c r="S202" s="65"/>
      <c r="T202" s="65"/>
      <c r="U202" s="65"/>
      <c r="V202" s="65"/>
      <c r="W202" s="65"/>
      <c r="X202" s="65"/>
      <c r="Y202" s="65"/>
      <c r="Z202" s="65"/>
    </row>
    <row r="203">
      <c r="A203" s="129">
        <v>12.0</v>
      </c>
      <c r="B203" s="149" t="s">
        <v>1128</v>
      </c>
      <c r="C203" s="125" t="s">
        <v>328</v>
      </c>
      <c r="D203" s="148" t="s">
        <v>1129</v>
      </c>
      <c r="E203" s="148" t="s">
        <v>1097</v>
      </c>
      <c r="F203" s="148" t="s">
        <v>901</v>
      </c>
      <c r="G203" s="148" t="s">
        <v>1130</v>
      </c>
      <c r="H203" s="148"/>
      <c r="I203" s="148" t="s">
        <v>418</v>
      </c>
      <c r="J203" s="148" t="s">
        <v>1023</v>
      </c>
      <c r="K203" s="65"/>
      <c r="L203" s="65"/>
      <c r="M203" s="65"/>
      <c r="N203" s="65"/>
      <c r="O203" s="65"/>
      <c r="P203" s="65"/>
      <c r="Q203" s="65"/>
      <c r="R203" s="65"/>
      <c r="S203" s="65"/>
      <c r="T203" s="65"/>
      <c r="U203" s="65"/>
      <c r="V203" s="65"/>
      <c r="W203" s="65"/>
      <c r="X203" s="65"/>
      <c r="Y203" s="65"/>
      <c r="Z203" s="65"/>
    </row>
    <row r="204">
      <c r="A204" s="129">
        <v>13.0</v>
      </c>
      <c r="B204" s="22" t="s">
        <v>1131</v>
      </c>
      <c r="C204" s="73" t="s">
        <v>328</v>
      </c>
      <c r="D204" s="20" t="s">
        <v>1132</v>
      </c>
      <c r="E204" s="20" t="s">
        <v>1097</v>
      </c>
      <c r="F204" s="20" t="s">
        <v>1133</v>
      </c>
      <c r="G204" s="20" t="s">
        <v>1134</v>
      </c>
      <c r="H204" s="20" t="s">
        <v>366</v>
      </c>
      <c r="I204" s="20" t="s">
        <v>1135</v>
      </c>
      <c r="J204" s="20"/>
      <c r="K204" s="65"/>
      <c r="L204" s="65"/>
      <c r="M204" s="65"/>
      <c r="N204" s="65"/>
      <c r="O204" s="65"/>
      <c r="P204" s="65"/>
      <c r="Q204" s="65"/>
      <c r="R204" s="65"/>
      <c r="S204" s="65"/>
      <c r="T204" s="65"/>
      <c r="U204" s="65"/>
      <c r="V204" s="65"/>
      <c r="W204" s="65"/>
      <c r="X204" s="65"/>
      <c r="Y204" s="65"/>
      <c r="Z204" s="65"/>
    </row>
    <row r="205">
      <c r="A205" s="129">
        <v>14.0</v>
      </c>
      <c r="B205" s="149" t="s">
        <v>362</v>
      </c>
      <c r="C205" s="125" t="s">
        <v>328</v>
      </c>
      <c r="D205" s="148" t="s">
        <v>1136</v>
      </c>
      <c r="E205" s="148" t="s">
        <v>1097</v>
      </c>
      <c r="F205" s="148" t="s">
        <v>1137</v>
      </c>
      <c r="G205" s="148" t="s">
        <v>1138</v>
      </c>
      <c r="H205" s="148" t="s">
        <v>1139</v>
      </c>
      <c r="I205" s="148" t="s">
        <v>1140</v>
      </c>
      <c r="J205" s="148" t="s">
        <v>1141</v>
      </c>
      <c r="K205" s="65"/>
      <c r="L205" s="65"/>
      <c r="M205" s="65"/>
      <c r="N205" s="65"/>
      <c r="O205" s="65"/>
      <c r="P205" s="65"/>
      <c r="Q205" s="65"/>
      <c r="R205" s="65"/>
      <c r="S205" s="65"/>
      <c r="T205" s="65"/>
      <c r="U205" s="65"/>
      <c r="V205" s="65"/>
      <c r="W205" s="65"/>
      <c r="X205" s="65"/>
      <c r="Y205" s="65"/>
      <c r="Z205" s="65"/>
    </row>
    <row r="206">
      <c r="A206" s="129">
        <v>15.0</v>
      </c>
      <c r="B206" s="116" t="s">
        <v>1142</v>
      </c>
      <c r="C206" s="73" t="s">
        <v>328</v>
      </c>
      <c r="D206" s="20" t="s">
        <v>1143</v>
      </c>
      <c r="E206" s="73" t="s">
        <v>1097</v>
      </c>
      <c r="F206" s="73" t="s">
        <v>1144</v>
      </c>
      <c r="G206" s="73"/>
      <c r="H206" s="73" t="s">
        <v>1145</v>
      </c>
      <c r="I206" s="73" t="s">
        <v>1146</v>
      </c>
      <c r="J206" s="73" t="s">
        <v>901</v>
      </c>
      <c r="K206" s="65"/>
      <c r="L206" s="65"/>
      <c r="M206" s="65"/>
      <c r="N206" s="65"/>
      <c r="O206" s="65"/>
      <c r="P206" s="65"/>
      <c r="Q206" s="65"/>
      <c r="R206" s="65"/>
      <c r="S206" s="65"/>
      <c r="T206" s="65"/>
      <c r="U206" s="65"/>
      <c r="V206" s="65"/>
      <c r="W206" s="65"/>
      <c r="X206" s="65"/>
      <c r="Y206" s="65"/>
      <c r="Z206" s="65"/>
    </row>
    <row r="207">
      <c r="A207" s="129">
        <v>16.0</v>
      </c>
      <c r="B207" s="116" t="s">
        <v>1147</v>
      </c>
      <c r="C207" s="73" t="s">
        <v>328</v>
      </c>
      <c r="D207" s="20" t="s">
        <v>1148</v>
      </c>
      <c r="E207" s="73" t="s">
        <v>1097</v>
      </c>
      <c r="F207" s="73" t="s">
        <v>1149</v>
      </c>
      <c r="G207" s="73" t="s">
        <v>1150</v>
      </c>
      <c r="H207" s="73" t="s">
        <v>1145</v>
      </c>
      <c r="I207" s="73" t="s">
        <v>62</v>
      </c>
      <c r="J207" s="73"/>
      <c r="K207" s="65"/>
      <c r="L207" s="65"/>
      <c r="M207" s="65"/>
      <c r="N207" s="65"/>
      <c r="O207" s="65"/>
      <c r="P207" s="65"/>
      <c r="Q207" s="65"/>
      <c r="R207" s="65"/>
      <c r="S207" s="65"/>
      <c r="T207" s="65"/>
      <c r="U207" s="65"/>
      <c r="V207" s="65"/>
      <c r="W207" s="65"/>
      <c r="X207" s="65"/>
      <c r="Y207" s="65"/>
      <c r="Z207" s="65"/>
    </row>
    <row r="208">
      <c r="A208" s="129">
        <v>17.0</v>
      </c>
      <c r="B208" s="116" t="s">
        <v>1151</v>
      </c>
      <c r="C208" s="73" t="s">
        <v>408</v>
      </c>
      <c r="D208" s="20" t="s">
        <v>1152</v>
      </c>
      <c r="E208" s="73" t="s">
        <v>1097</v>
      </c>
      <c r="F208" s="73" t="s">
        <v>1153</v>
      </c>
      <c r="G208" s="73"/>
      <c r="H208" s="73" t="s">
        <v>278</v>
      </c>
      <c r="I208" s="73" t="s">
        <v>906</v>
      </c>
      <c r="J208" s="73"/>
      <c r="K208" s="65"/>
      <c r="L208" s="65"/>
      <c r="M208" s="65"/>
      <c r="N208" s="65"/>
      <c r="O208" s="65"/>
      <c r="P208" s="65"/>
      <c r="Q208" s="65"/>
      <c r="R208" s="65"/>
      <c r="S208" s="65"/>
      <c r="T208" s="65"/>
      <c r="U208" s="65"/>
      <c r="V208" s="65"/>
      <c r="W208" s="65"/>
      <c r="X208" s="65"/>
      <c r="Y208" s="65"/>
      <c r="Z208" s="65"/>
    </row>
    <row r="209">
      <c r="A209" s="129">
        <v>18.0</v>
      </c>
      <c r="B209" s="116" t="s">
        <v>415</v>
      </c>
      <c r="C209" s="73" t="s">
        <v>328</v>
      </c>
      <c r="D209" s="20" t="s">
        <v>1154</v>
      </c>
      <c r="E209" s="73" t="s">
        <v>1097</v>
      </c>
      <c r="F209" s="73" t="s">
        <v>1023</v>
      </c>
      <c r="G209" s="73"/>
      <c r="H209" s="73"/>
      <c r="I209" s="73" t="s">
        <v>418</v>
      </c>
      <c r="J209" s="73" t="s">
        <v>1155</v>
      </c>
      <c r="K209" s="65"/>
      <c r="L209" s="65"/>
      <c r="M209" s="65"/>
      <c r="N209" s="65"/>
      <c r="O209" s="65"/>
      <c r="P209" s="65"/>
      <c r="Q209" s="65"/>
      <c r="R209" s="65"/>
      <c r="S209" s="65"/>
      <c r="T209" s="65"/>
      <c r="U209" s="65"/>
      <c r="V209" s="65"/>
      <c r="W209" s="65"/>
      <c r="X209" s="65"/>
      <c r="Y209" s="65"/>
      <c r="Z209" s="65"/>
    </row>
    <row r="210">
      <c r="A210" s="129">
        <v>19.0</v>
      </c>
      <c r="B210" s="116" t="s">
        <v>932</v>
      </c>
      <c r="C210" s="73" t="s">
        <v>328</v>
      </c>
      <c r="D210" s="20" t="s">
        <v>1156</v>
      </c>
      <c r="E210" s="73" t="s">
        <v>1097</v>
      </c>
      <c r="F210" s="73" t="s">
        <v>1157</v>
      </c>
      <c r="G210" s="73"/>
      <c r="H210" s="73"/>
      <c r="I210" s="73" t="s">
        <v>418</v>
      </c>
      <c r="J210" s="73" t="s">
        <v>1158</v>
      </c>
      <c r="K210" s="65"/>
      <c r="L210" s="65"/>
      <c r="M210" s="65"/>
      <c r="N210" s="65"/>
      <c r="O210" s="65"/>
      <c r="P210" s="65"/>
      <c r="Q210" s="65"/>
      <c r="R210" s="65"/>
      <c r="S210" s="65"/>
      <c r="T210" s="65"/>
      <c r="U210" s="65"/>
      <c r="V210" s="65"/>
      <c r="W210" s="65"/>
      <c r="X210" s="65"/>
      <c r="Y210" s="65"/>
      <c r="Z210" s="65"/>
    </row>
    <row r="211">
      <c r="A211" s="129">
        <v>20.0</v>
      </c>
      <c r="B211" s="126" t="s">
        <v>1018</v>
      </c>
      <c r="C211" s="125" t="s">
        <v>328</v>
      </c>
      <c r="D211" s="148" t="s">
        <v>1159</v>
      </c>
      <c r="E211" s="125" t="s">
        <v>1097</v>
      </c>
      <c r="F211" s="125" t="s">
        <v>1137</v>
      </c>
      <c r="G211" s="125"/>
      <c r="H211" s="125"/>
      <c r="I211" s="125" t="s">
        <v>367</v>
      </c>
      <c r="J211" s="125" t="s">
        <v>1160</v>
      </c>
      <c r="K211" s="65"/>
      <c r="L211" s="65"/>
      <c r="M211" s="65"/>
      <c r="N211" s="65"/>
      <c r="O211" s="65"/>
      <c r="P211" s="65"/>
      <c r="Q211" s="65"/>
      <c r="R211" s="65"/>
      <c r="S211" s="65"/>
      <c r="T211" s="65"/>
      <c r="U211" s="65"/>
      <c r="V211" s="65"/>
      <c r="W211" s="65"/>
      <c r="X211" s="65"/>
      <c r="Y211" s="65"/>
      <c r="Z211" s="65"/>
    </row>
    <row r="212">
      <c r="A212" s="129">
        <v>21.0</v>
      </c>
      <c r="B212" s="116" t="s">
        <v>1018</v>
      </c>
      <c r="C212" s="73" t="s">
        <v>328</v>
      </c>
      <c r="D212" s="20" t="s">
        <v>1161</v>
      </c>
      <c r="E212" s="73" t="s">
        <v>1097</v>
      </c>
      <c r="F212" s="73" t="s">
        <v>1162</v>
      </c>
      <c r="G212" s="73" t="s">
        <v>1163</v>
      </c>
      <c r="H212" s="73"/>
      <c r="I212" s="73" t="s">
        <v>367</v>
      </c>
      <c r="J212" s="73"/>
      <c r="K212" s="65"/>
      <c r="L212" s="65"/>
      <c r="M212" s="65"/>
      <c r="N212" s="65"/>
      <c r="O212" s="65"/>
      <c r="P212" s="65"/>
      <c r="Q212" s="65"/>
      <c r="R212" s="65"/>
      <c r="S212" s="65"/>
      <c r="T212" s="65"/>
      <c r="U212" s="65"/>
      <c r="V212" s="65"/>
      <c r="W212" s="65"/>
      <c r="X212" s="65"/>
      <c r="Y212" s="65"/>
      <c r="Z212" s="65"/>
    </row>
    <row r="213">
      <c r="A213" s="129">
        <v>22.0</v>
      </c>
      <c r="B213" s="116" t="s">
        <v>1018</v>
      </c>
      <c r="C213" s="73" t="s">
        <v>328</v>
      </c>
      <c r="D213" s="20" t="s">
        <v>1164</v>
      </c>
      <c r="E213" s="73" t="s">
        <v>1097</v>
      </c>
      <c r="F213" s="73"/>
      <c r="G213" s="73" t="s">
        <v>1165</v>
      </c>
      <c r="H213" s="73"/>
      <c r="I213" s="73" t="s">
        <v>367</v>
      </c>
      <c r="J213" s="73"/>
      <c r="K213" s="65"/>
      <c r="L213" s="65"/>
      <c r="M213" s="65"/>
      <c r="N213" s="65"/>
      <c r="O213" s="65"/>
      <c r="P213" s="65"/>
      <c r="Q213" s="65"/>
      <c r="R213" s="65"/>
      <c r="S213" s="65"/>
      <c r="T213" s="65"/>
      <c r="U213" s="65"/>
      <c r="V213" s="65"/>
      <c r="W213" s="65"/>
      <c r="X213" s="65"/>
      <c r="Y213" s="65"/>
      <c r="Z213" s="65"/>
    </row>
    <row r="214">
      <c r="A214" s="129">
        <v>23.0</v>
      </c>
      <c r="B214" s="73" t="s">
        <v>51</v>
      </c>
      <c r="C214" s="73" t="s">
        <v>357</v>
      </c>
      <c r="D214" s="73" t="s">
        <v>1166</v>
      </c>
      <c r="E214" s="73" t="s">
        <v>983</v>
      </c>
      <c r="F214" s="73" t="s">
        <v>1167</v>
      </c>
      <c r="G214" s="73" t="s">
        <v>1168</v>
      </c>
      <c r="H214" s="140" t="s">
        <v>210</v>
      </c>
      <c r="I214" s="73" t="s">
        <v>986</v>
      </c>
      <c r="J214" s="73" t="s">
        <v>1169</v>
      </c>
      <c r="K214" s="65"/>
      <c r="L214" s="65"/>
      <c r="M214" s="65"/>
      <c r="N214" s="65"/>
      <c r="O214" s="65"/>
      <c r="P214" s="65"/>
      <c r="Q214" s="65"/>
      <c r="R214" s="65"/>
      <c r="S214" s="65"/>
      <c r="T214" s="65"/>
      <c r="U214" s="65"/>
      <c r="V214" s="65"/>
      <c r="W214" s="65"/>
      <c r="X214" s="65"/>
      <c r="Y214" s="65"/>
      <c r="Z214" s="65"/>
    </row>
    <row r="215">
      <c r="A215" s="129">
        <v>24.0</v>
      </c>
      <c r="B215" s="73" t="s">
        <v>415</v>
      </c>
      <c r="C215" s="73" t="s">
        <v>328</v>
      </c>
      <c r="D215" s="73" t="s">
        <v>1170</v>
      </c>
      <c r="E215" s="73"/>
      <c r="F215" s="73" t="s">
        <v>1171</v>
      </c>
      <c r="G215" s="73" t="s">
        <v>1172</v>
      </c>
      <c r="H215" s="140"/>
      <c r="I215" s="73" t="s">
        <v>418</v>
      </c>
      <c r="J215" s="116" t="s">
        <v>1173</v>
      </c>
      <c r="K215" s="65"/>
      <c r="L215" s="65"/>
      <c r="M215" s="65"/>
      <c r="N215" s="65"/>
      <c r="O215" s="65"/>
      <c r="P215" s="65"/>
      <c r="Q215" s="65"/>
      <c r="R215" s="65"/>
      <c r="S215" s="65"/>
      <c r="T215" s="65"/>
      <c r="U215" s="65"/>
      <c r="V215" s="65"/>
      <c r="W215" s="65"/>
      <c r="X215" s="65"/>
      <c r="Y215" s="65"/>
      <c r="Z215" s="65"/>
    </row>
    <row r="216">
      <c r="A216" s="132">
        <v>25.0</v>
      </c>
      <c r="B216" s="73" t="s">
        <v>608</v>
      </c>
      <c r="C216" s="73" t="s">
        <v>328</v>
      </c>
      <c r="D216" s="73" t="s">
        <v>1174</v>
      </c>
      <c r="E216" s="73"/>
      <c r="F216" s="73" t="s">
        <v>1175</v>
      </c>
      <c r="G216" s="73"/>
      <c r="H216" s="140"/>
      <c r="I216" s="73" t="s">
        <v>418</v>
      </c>
      <c r="J216" s="116"/>
      <c r="K216" s="65"/>
      <c r="L216" s="65"/>
      <c r="M216" s="65"/>
      <c r="N216" s="65"/>
      <c r="O216" s="65"/>
      <c r="P216" s="65"/>
      <c r="Q216" s="65"/>
      <c r="R216" s="65"/>
      <c r="S216" s="65"/>
      <c r="T216" s="65"/>
      <c r="U216" s="65"/>
      <c r="V216" s="65"/>
      <c r="W216" s="65"/>
      <c r="X216" s="65"/>
      <c r="Y216" s="65"/>
      <c r="Z216" s="65"/>
    </row>
    <row r="217">
      <c r="A217" s="132">
        <v>26.0</v>
      </c>
      <c r="B217" s="22" t="s">
        <v>1176</v>
      </c>
      <c r="C217" s="73" t="s">
        <v>408</v>
      </c>
      <c r="D217" s="22" t="s">
        <v>903</v>
      </c>
      <c r="E217" s="22" t="s">
        <v>1097</v>
      </c>
      <c r="F217" s="20" t="s">
        <v>1177</v>
      </c>
      <c r="G217" s="22" t="s">
        <v>1178</v>
      </c>
      <c r="H217" s="22" t="s">
        <v>494</v>
      </c>
      <c r="I217" s="22" t="s">
        <v>160</v>
      </c>
      <c r="J217" s="22" t="s">
        <v>1179</v>
      </c>
      <c r="K217" s="65"/>
      <c r="L217" s="65"/>
      <c r="M217" s="65"/>
      <c r="N217" s="65"/>
      <c r="O217" s="65"/>
      <c r="P217" s="65"/>
      <c r="Q217" s="65"/>
      <c r="R217" s="65"/>
      <c r="S217" s="65"/>
      <c r="T217" s="65"/>
      <c r="U217" s="65"/>
      <c r="V217" s="65"/>
      <c r="W217" s="65"/>
      <c r="X217" s="65"/>
      <c r="Y217" s="65"/>
      <c r="Z217" s="65"/>
    </row>
    <row r="218">
      <c r="A218" s="132">
        <v>27.0</v>
      </c>
      <c r="B218" s="22" t="s">
        <v>1180</v>
      </c>
      <c r="C218" s="73" t="s">
        <v>107</v>
      </c>
      <c r="D218" s="21"/>
      <c r="E218" s="22" t="s">
        <v>1097</v>
      </c>
      <c r="F218" s="147" t="s">
        <v>1181</v>
      </c>
      <c r="G218" s="21"/>
      <c r="H218" s="22" t="s">
        <v>494</v>
      </c>
      <c r="I218" s="22" t="s">
        <v>160</v>
      </c>
      <c r="J218" s="22" t="s">
        <v>1182</v>
      </c>
      <c r="K218" s="65"/>
      <c r="L218" s="65"/>
      <c r="M218" s="65"/>
      <c r="N218" s="65"/>
      <c r="O218" s="65"/>
      <c r="P218" s="65"/>
      <c r="Q218" s="65"/>
      <c r="R218" s="65"/>
      <c r="S218" s="65"/>
      <c r="T218" s="65"/>
      <c r="U218" s="65"/>
      <c r="V218" s="65"/>
      <c r="W218" s="65"/>
      <c r="X218" s="65"/>
      <c r="Y218" s="65"/>
      <c r="Z218" s="65"/>
    </row>
    <row r="219">
      <c r="A219" s="132">
        <v>28.0</v>
      </c>
      <c r="B219" s="22" t="s">
        <v>1183</v>
      </c>
      <c r="C219" s="73" t="s">
        <v>328</v>
      </c>
      <c r="D219" s="22" t="s">
        <v>1184</v>
      </c>
      <c r="E219" s="22" t="s">
        <v>1097</v>
      </c>
      <c r="F219" s="20" t="s">
        <v>1185</v>
      </c>
      <c r="G219" s="20" t="s">
        <v>1186</v>
      </c>
      <c r="H219" s="22" t="s">
        <v>210</v>
      </c>
      <c r="I219" s="22" t="s">
        <v>125</v>
      </c>
      <c r="J219" s="22" t="s">
        <v>976</v>
      </c>
      <c r="K219" s="65"/>
      <c r="L219" s="65"/>
      <c r="M219" s="65"/>
      <c r="N219" s="65"/>
      <c r="O219" s="65"/>
      <c r="P219" s="65"/>
      <c r="Q219" s="65"/>
      <c r="R219" s="65"/>
      <c r="S219" s="65"/>
      <c r="T219" s="65"/>
      <c r="U219" s="65"/>
      <c r="V219" s="65"/>
      <c r="W219" s="65"/>
      <c r="X219" s="65"/>
      <c r="Y219" s="65"/>
      <c r="Z219" s="65"/>
    </row>
    <row r="220">
      <c r="A220" s="153">
        <v>29.0</v>
      </c>
      <c r="B220" s="151" t="s">
        <v>1187</v>
      </c>
      <c r="C220" s="73" t="s">
        <v>357</v>
      </c>
      <c r="D220" s="20" t="s">
        <v>1188</v>
      </c>
      <c r="E220" s="22" t="s">
        <v>1097</v>
      </c>
      <c r="F220" s="20" t="s">
        <v>1189</v>
      </c>
      <c r="G220" s="21"/>
      <c r="H220" s="151" t="s">
        <v>210</v>
      </c>
      <c r="I220" s="151" t="s">
        <v>125</v>
      </c>
      <c r="J220" s="20" t="s">
        <v>1190</v>
      </c>
      <c r="K220" s="65"/>
      <c r="L220" s="65"/>
      <c r="M220" s="65"/>
      <c r="N220" s="65"/>
      <c r="O220" s="65"/>
      <c r="P220" s="65"/>
      <c r="Q220" s="65"/>
      <c r="R220" s="65"/>
      <c r="S220" s="65"/>
      <c r="T220" s="65"/>
      <c r="U220" s="65"/>
      <c r="V220" s="65"/>
      <c r="W220" s="65"/>
      <c r="X220" s="65"/>
      <c r="Y220" s="65"/>
      <c r="Z220" s="65"/>
    </row>
    <row r="221">
      <c r="A221" s="34"/>
      <c r="B221" s="34"/>
      <c r="C221" s="73" t="s">
        <v>328</v>
      </c>
      <c r="D221" s="20" t="s">
        <v>1191</v>
      </c>
      <c r="E221" s="22" t="s">
        <v>1097</v>
      </c>
      <c r="F221" s="20" t="s">
        <v>1192</v>
      </c>
      <c r="G221" s="21"/>
      <c r="H221" s="34"/>
      <c r="I221" s="34"/>
      <c r="J221" s="21"/>
      <c r="K221" s="65"/>
      <c r="L221" s="65"/>
      <c r="M221" s="65"/>
      <c r="N221" s="65"/>
      <c r="O221" s="65"/>
      <c r="P221" s="65"/>
      <c r="Q221" s="65"/>
      <c r="R221" s="65"/>
      <c r="S221" s="65"/>
      <c r="T221" s="65"/>
      <c r="U221" s="65"/>
      <c r="V221" s="65"/>
      <c r="W221" s="65"/>
      <c r="X221" s="65"/>
      <c r="Y221" s="65"/>
      <c r="Z221" s="65"/>
    </row>
    <row r="222">
      <c r="A222" s="132">
        <v>30.0</v>
      </c>
      <c r="B222" s="20" t="s">
        <v>1193</v>
      </c>
      <c r="C222" s="73" t="s">
        <v>328</v>
      </c>
      <c r="D222" s="154" t="s">
        <v>1194</v>
      </c>
      <c r="E222" s="22" t="s">
        <v>1097</v>
      </c>
      <c r="F222" s="20" t="s">
        <v>1195</v>
      </c>
      <c r="G222" s="21"/>
      <c r="H222" s="20" t="s">
        <v>1196</v>
      </c>
      <c r="I222" s="22" t="s">
        <v>125</v>
      </c>
      <c r="J222" s="22" t="s">
        <v>1197</v>
      </c>
      <c r="K222" s="65"/>
      <c r="L222" s="65"/>
      <c r="M222" s="65"/>
      <c r="N222" s="65"/>
      <c r="O222" s="65"/>
      <c r="P222" s="65"/>
      <c r="Q222" s="65"/>
      <c r="R222" s="65"/>
      <c r="S222" s="65"/>
      <c r="T222" s="65"/>
      <c r="U222" s="65"/>
      <c r="V222" s="65"/>
      <c r="W222" s="65"/>
      <c r="X222" s="65"/>
      <c r="Y222" s="65"/>
      <c r="Z222" s="65"/>
    </row>
    <row r="223">
      <c r="A223" s="132">
        <v>31.0</v>
      </c>
      <c r="B223" s="22" t="s">
        <v>1198</v>
      </c>
      <c r="C223" s="73" t="s">
        <v>328</v>
      </c>
      <c r="D223" s="20" t="s">
        <v>1199</v>
      </c>
      <c r="E223" s="22" t="s">
        <v>1097</v>
      </c>
      <c r="F223" s="20" t="s">
        <v>1200</v>
      </c>
      <c r="G223" s="21"/>
      <c r="H223" s="22" t="s">
        <v>1201</v>
      </c>
      <c r="I223" s="22" t="s">
        <v>1201</v>
      </c>
      <c r="J223" s="21"/>
      <c r="K223" s="65"/>
      <c r="L223" s="65"/>
      <c r="M223" s="65"/>
      <c r="N223" s="65"/>
      <c r="O223" s="65"/>
      <c r="P223" s="65"/>
      <c r="Q223" s="65"/>
      <c r="R223" s="65"/>
      <c r="S223" s="65"/>
      <c r="T223" s="65"/>
      <c r="U223" s="65"/>
      <c r="V223" s="65"/>
      <c r="W223" s="65"/>
      <c r="X223" s="65"/>
      <c r="Y223" s="65"/>
      <c r="Z223" s="65"/>
    </row>
    <row r="224">
      <c r="A224" s="129">
        <v>32.0</v>
      </c>
      <c r="B224" s="116" t="s">
        <v>1202</v>
      </c>
      <c r="C224" s="73" t="s">
        <v>107</v>
      </c>
      <c r="D224" s="116" t="s">
        <v>1203</v>
      </c>
      <c r="E224" s="116" t="s">
        <v>1097</v>
      </c>
      <c r="F224" s="73" t="s">
        <v>1204</v>
      </c>
      <c r="G224" s="73" t="s">
        <v>1205</v>
      </c>
      <c r="H224" s="116" t="s">
        <v>1206</v>
      </c>
      <c r="I224" s="116" t="s">
        <v>160</v>
      </c>
      <c r="J224" s="116" t="s">
        <v>1207</v>
      </c>
      <c r="K224" s="65"/>
      <c r="L224" s="65"/>
      <c r="M224" s="65"/>
      <c r="N224" s="65"/>
      <c r="O224" s="65"/>
      <c r="P224" s="65"/>
      <c r="Q224" s="65"/>
      <c r="R224" s="65"/>
      <c r="S224" s="65"/>
      <c r="T224" s="65"/>
      <c r="U224" s="65"/>
      <c r="V224" s="65"/>
      <c r="W224" s="65"/>
      <c r="X224" s="65"/>
      <c r="Y224" s="65"/>
      <c r="Z224" s="65"/>
    </row>
    <row r="225">
      <c r="A225" s="129">
        <v>33.0</v>
      </c>
      <c r="B225" s="116" t="s">
        <v>1208</v>
      </c>
      <c r="C225" s="73" t="s">
        <v>328</v>
      </c>
      <c r="D225" s="73" t="s">
        <v>1209</v>
      </c>
      <c r="E225" s="116" t="s">
        <v>1097</v>
      </c>
      <c r="F225" s="116" t="s">
        <v>1210</v>
      </c>
      <c r="G225" s="73" t="s">
        <v>1211</v>
      </c>
      <c r="H225" s="116" t="s">
        <v>210</v>
      </c>
      <c r="I225" s="116" t="s">
        <v>361</v>
      </c>
      <c r="J225" s="118"/>
      <c r="K225" s="65"/>
      <c r="L225" s="65"/>
      <c r="M225" s="65"/>
      <c r="N225" s="65"/>
      <c r="O225" s="65"/>
      <c r="P225" s="65"/>
      <c r="Q225" s="65"/>
      <c r="R225" s="65"/>
      <c r="S225" s="65"/>
      <c r="T225" s="65"/>
      <c r="U225" s="65"/>
      <c r="V225" s="65"/>
      <c r="W225" s="65"/>
      <c r="X225" s="65"/>
      <c r="Y225" s="65"/>
      <c r="Z225" s="65"/>
    </row>
    <row r="226">
      <c r="A226" s="129">
        <v>34.0</v>
      </c>
      <c r="B226" s="116" t="s">
        <v>932</v>
      </c>
      <c r="C226" s="73" t="s">
        <v>328</v>
      </c>
      <c r="D226" s="116" t="s">
        <v>1212</v>
      </c>
      <c r="E226" s="116" t="s">
        <v>1097</v>
      </c>
      <c r="F226" s="116" t="s">
        <v>1023</v>
      </c>
      <c r="G226" s="118"/>
      <c r="H226" s="118"/>
      <c r="I226" s="116" t="s">
        <v>418</v>
      </c>
      <c r="J226" s="116" t="s">
        <v>1213</v>
      </c>
      <c r="K226" s="65"/>
      <c r="L226" s="65"/>
      <c r="M226" s="65"/>
      <c r="N226" s="65"/>
      <c r="O226" s="65"/>
      <c r="P226" s="65"/>
      <c r="Q226" s="65"/>
      <c r="R226" s="65"/>
      <c r="S226" s="65"/>
      <c r="T226" s="65"/>
      <c r="U226" s="65"/>
      <c r="V226" s="65"/>
      <c r="W226" s="65"/>
      <c r="X226" s="65"/>
      <c r="Y226" s="65"/>
      <c r="Z226" s="65"/>
    </row>
    <row r="227">
      <c r="A227" s="129">
        <v>35.0</v>
      </c>
      <c r="B227" s="116" t="s">
        <v>932</v>
      </c>
      <c r="C227" s="73" t="s">
        <v>328</v>
      </c>
      <c r="D227" s="116" t="s">
        <v>1214</v>
      </c>
      <c r="E227" s="116" t="s">
        <v>1097</v>
      </c>
      <c r="F227" s="116" t="s">
        <v>1023</v>
      </c>
      <c r="G227" s="118"/>
      <c r="H227" s="118"/>
      <c r="I227" s="116" t="s">
        <v>418</v>
      </c>
      <c r="J227" s="116" t="s">
        <v>1213</v>
      </c>
      <c r="K227" s="65"/>
      <c r="L227" s="65"/>
      <c r="M227" s="65"/>
      <c r="N227" s="65"/>
      <c r="O227" s="65"/>
      <c r="P227" s="65"/>
      <c r="Q227" s="65"/>
      <c r="R227" s="65"/>
      <c r="S227" s="65"/>
      <c r="T227" s="65"/>
      <c r="U227" s="65"/>
      <c r="V227" s="65"/>
      <c r="W227" s="65"/>
      <c r="X227" s="65"/>
      <c r="Y227" s="65"/>
      <c r="Z227" s="65"/>
    </row>
    <row r="228">
      <c r="A228" s="129">
        <v>36.0</v>
      </c>
      <c r="B228" s="116" t="s">
        <v>1215</v>
      </c>
      <c r="C228" s="73" t="s">
        <v>328</v>
      </c>
      <c r="D228" s="116" t="s">
        <v>1216</v>
      </c>
      <c r="E228" s="118"/>
      <c r="F228" s="116" t="s">
        <v>1023</v>
      </c>
      <c r="G228" s="118"/>
      <c r="H228" s="118"/>
      <c r="I228" s="118"/>
      <c r="J228" s="116" t="s">
        <v>1217</v>
      </c>
      <c r="K228" s="65"/>
      <c r="L228" s="65"/>
      <c r="M228" s="65"/>
      <c r="N228" s="65"/>
      <c r="O228" s="65"/>
      <c r="P228" s="65"/>
      <c r="Q228" s="65"/>
      <c r="R228" s="65"/>
      <c r="S228" s="65"/>
      <c r="T228" s="65"/>
      <c r="U228" s="65"/>
      <c r="V228" s="65"/>
      <c r="W228" s="65"/>
      <c r="X228" s="65"/>
      <c r="Y228" s="65"/>
      <c r="Z228" s="65"/>
    </row>
    <row r="229">
      <c r="A229" s="129">
        <v>37.0</v>
      </c>
      <c r="B229" s="116" t="s">
        <v>1218</v>
      </c>
      <c r="C229" s="73" t="s">
        <v>328</v>
      </c>
      <c r="D229" s="116" t="s">
        <v>1219</v>
      </c>
      <c r="E229" s="116" t="s">
        <v>1097</v>
      </c>
      <c r="F229" s="116" t="s">
        <v>1220</v>
      </c>
      <c r="G229" s="116" t="s">
        <v>1221</v>
      </c>
      <c r="H229" s="118"/>
      <c r="I229" s="116" t="s">
        <v>418</v>
      </c>
      <c r="J229" s="118"/>
      <c r="K229" s="65"/>
      <c r="L229" s="65"/>
      <c r="M229" s="65"/>
      <c r="N229" s="65"/>
      <c r="O229" s="65"/>
      <c r="P229" s="65"/>
      <c r="Q229" s="65"/>
      <c r="R229" s="65"/>
      <c r="S229" s="65"/>
      <c r="T229" s="65"/>
      <c r="U229" s="65"/>
      <c r="V229" s="65"/>
      <c r="W229" s="65"/>
      <c r="X229" s="65"/>
      <c r="Y229" s="65"/>
      <c r="Z229" s="65"/>
    </row>
    <row r="230">
      <c r="A230" s="129">
        <v>38.0</v>
      </c>
      <c r="B230" s="116" t="s">
        <v>1222</v>
      </c>
      <c r="C230" s="73" t="s">
        <v>328</v>
      </c>
      <c r="D230" s="116" t="s">
        <v>1219</v>
      </c>
      <c r="E230" s="116" t="s">
        <v>1097</v>
      </c>
      <c r="F230" s="116" t="s">
        <v>1223</v>
      </c>
      <c r="G230" s="116" t="s">
        <v>1224</v>
      </c>
      <c r="H230" s="118"/>
      <c r="I230" s="116" t="s">
        <v>418</v>
      </c>
      <c r="J230" s="118"/>
      <c r="K230" s="65"/>
      <c r="L230" s="65"/>
      <c r="M230" s="65"/>
      <c r="N230" s="65"/>
      <c r="O230" s="65"/>
      <c r="P230" s="65"/>
      <c r="Q230" s="65"/>
      <c r="R230" s="65"/>
      <c r="S230" s="65"/>
      <c r="T230" s="65"/>
      <c r="U230" s="65"/>
      <c r="V230" s="65"/>
      <c r="W230" s="65"/>
      <c r="X230" s="65"/>
      <c r="Y230" s="65"/>
      <c r="Z230" s="65"/>
    </row>
    <row r="231">
      <c r="A231" s="129">
        <v>39.0</v>
      </c>
      <c r="B231" s="116" t="s">
        <v>1225</v>
      </c>
      <c r="C231" s="73" t="s">
        <v>328</v>
      </c>
      <c r="D231" s="116" t="s">
        <v>1219</v>
      </c>
      <c r="E231" s="116" t="s">
        <v>1097</v>
      </c>
      <c r="F231" s="116" t="s">
        <v>1226</v>
      </c>
      <c r="G231" s="118"/>
      <c r="H231" s="118"/>
      <c r="I231" s="116" t="s">
        <v>418</v>
      </c>
      <c r="J231" s="116" t="s">
        <v>1227</v>
      </c>
      <c r="K231" s="65"/>
      <c r="L231" s="65"/>
      <c r="M231" s="65"/>
      <c r="N231" s="65"/>
      <c r="O231" s="65"/>
      <c r="P231" s="65"/>
      <c r="Q231" s="65"/>
      <c r="R231" s="65"/>
      <c r="S231" s="65"/>
      <c r="T231" s="65"/>
      <c r="U231" s="65"/>
      <c r="V231" s="65"/>
      <c r="W231" s="65"/>
      <c r="X231" s="65"/>
      <c r="Y231" s="65"/>
      <c r="Z231" s="65"/>
    </row>
    <row r="232">
      <c r="A232" s="129">
        <v>40.0</v>
      </c>
      <c r="B232" s="116" t="s">
        <v>1228</v>
      </c>
      <c r="C232" s="73" t="s">
        <v>328</v>
      </c>
      <c r="D232" s="116" t="s">
        <v>573</v>
      </c>
      <c r="E232" s="116" t="s">
        <v>1097</v>
      </c>
      <c r="F232" s="116" t="s">
        <v>1229</v>
      </c>
      <c r="G232" s="118"/>
      <c r="H232" s="118"/>
      <c r="I232" s="116" t="s">
        <v>418</v>
      </c>
      <c r="J232" s="73" t="s">
        <v>1230</v>
      </c>
      <c r="K232" s="65"/>
      <c r="L232" s="65"/>
      <c r="M232" s="65"/>
      <c r="N232" s="65"/>
      <c r="O232" s="65"/>
      <c r="P232" s="65"/>
      <c r="Q232" s="65"/>
      <c r="R232" s="65"/>
      <c r="S232" s="65"/>
      <c r="T232" s="65"/>
      <c r="U232" s="65"/>
      <c r="V232" s="65"/>
      <c r="W232" s="65"/>
      <c r="X232" s="65"/>
      <c r="Y232" s="65"/>
      <c r="Z232" s="65"/>
    </row>
    <row r="233">
      <c r="A233" s="129">
        <v>41.0</v>
      </c>
      <c r="B233" s="116" t="s">
        <v>1231</v>
      </c>
      <c r="C233" s="73" t="s">
        <v>186</v>
      </c>
      <c r="D233" s="116" t="s">
        <v>1219</v>
      </c>
      <c r="E233" s="116" t="s">
        <v>1097</v>
      </c>
      <c r="F233" s="116" t="s">
        <v>1232</v>
      </c>
      <c r="G233" s="73" t="s">
        <v>1233</v>
      </c>
      <c r="H233" s="116" t="s">
        <v>494</v>
      </c>
      <c r="I233" s="116" t="s">
        <v>160</v>
      </c>
      <c r="J233" s="73" t="s">
        <v>1234</v>
      </c>
      <c r="K233" s="65"/>
      <c r="L233" s="65"/>
      <c r="M233" s="65"/>
      <c r="N233" s="65"/>
      <c r="O233" s="65"/>
      <c r="P233" s="65"/>
      <c r="Q233" s="65"/>
      <c r="R233" s="65"/>
      <c r="S233" s="65"/>
      <c r="T233" s="65"/>
      <c r="U233" s="65"/>
      <c r="V233" s="65"/>
      <c r="W233" s="65"/>
      <c r="X233" s="65"/>
      <c r="Y233" s="65"/>
      <c r="Z233" s="65"/>
    </row>
    <row r="234">
      <c r="A234" s="129">
        <v>42.0</v>
      </c>
      <c r="B234" s="116" t="s">
        <v>1235</v>
      </c>
      <c r="C234" s="73" t="s">
        <v>328</v>
      </c>
      <c r="D234" s="116" t="s">
        <v>1236</v>
      </c>
      <c r="E234" s="116" t="s">
        <v>1097</v>
      </c>
      <c r="F234" s="116" t="s">
        <v>1137</v>
      </c>
      <c r="G234" s="73" t="s">
        <v>1237</v>
      </c>
      <c r="H234" s="73" t="s">
        <v>955</v>
      </c>
      <c r="I234" s="116" t="s">
        <v>125</v>
      </c>
      <c r="J234" s="118"/>
      <c r="K234" s="65"/>
      <c r="L234" s="65"/>
      <c r="M234" s="65"/>
      <c r="N234" s="65"/>
      <c r="O234" s="65"/>
      <c r="P234" s="65"/>
      <c r="Q234" s="65"/>
      <c r="R234" s="65"/>
      <c r="S234" s="65"/>
      <c r="T234" s="65"/>
      <c r="U234" s="65"/>
      <c r="V234" s="65"/>
      <c r="W234" s="65"/>
      <c r="X234" s="65"/>
      <c r="Y234" s="65"/>
      <c r="Z234" s="65"/>
    </row>
    <row r="235">
      <c r="A235" s="129">
        <v>43.0</v>
      </c>
      <c r="B235" s="126" t="s">
        <v>1238</v>
      </c>
      <c r="C235" s="125" t="s">
        <v>186</v>
      </c>
      <c r="D235" s="125" t="s">
        <v>1239</v>
      </c>
      <c r="E235" s="126" t="s">
        <v>1240</v>
      </c>
      <c r="F235" s="125" t="s">
        <v>1241</v>
      </c>
      <c r="G235" s="125" t="s">
        <v>1242</v>
      </c>
      <c r="H235" s="125" t="s">
        <v>1243</v>
      </c>
      <c r="I235" s="126" t="s">
        <v>125</v>
      </c>
      <c r="J235" s="73" t="s">
        <v>1244</v>
      </c>
      <c r="K235" s="65"/>
      <c r="L235" s="65"/>
      <c r="M235" s="65"/>
      <c r="N235" s="65"/>
      <c r="O235" s="65"/>
      <c r="P235" s="65"/>
      <c r="Q235" s="65"/>
      <c r="R235" s="65"/>
      <c r="S235" s="65"/>
      <c r="T235" s="65"/>
      <c r="U235" s="65"/>
      <c r="V235" s="65"/>
      <c r="W235" s="65"/>
      <c r="X235" s="65"/>
      <c r="Y235" s="65"/>
      <c r="Z235" s="65"/>
    </row>
    <row r="236">
      <c r="A236" s="129">
        <v>44.0</v>
      </c>
      <c r="B236" s="116" t="s">
        <v>1245</v>
      </c>
      <c r="C236" s="73" t="s">
        <v>408</v>
      </c>
      <c r="D236" s="73" t="s">
        <v>1246</v>
      </c>
      <c r="E236" s="73" t="s">
        <v>983</v>
      </c>
      <c r="F236" s="155" t="s">
        <v>1247</v>
      </c>
      <c r="G236" s="73" t="s">
        <v>1248</v>
      </c>
      <c r="H236" s="73" t="s">
        <v>494</v>
      </c>
      <c r="I236" s="116" t="s">
        <v>160</v>
      </c>
      <c r="J236" s="73" t="s">
        <v>1249</v>
      </c>
      <c r="K236" s="65"/>
      <c r="L236" s="65"/>
      <c r="M236" s="65"/>
      <c r="N236" s="65"/>
      <c r="O236" s="65"/>
      <c r="P236" s="65"/>
      <c r="Q236" s="65"/>
      <c r="R236" s="65"/>
      <c r="S236" s="65"/>
      <c r="T236" s="65"/>
      <c r="U236" s="65"/>
      <c r="V236" s="65"/>
      <c r="W236" s="65"/>
      <c r="X236" s="65"/>
      <c r="Y236" s="65"/>
      <c r="Z236" s="65"/>
    </row>
    <row r="237">
      <c r="A237" s="129">
        <v>45.0</v>
      </c>
      <c r="B237" s="156" t="s">
        <v>1250</v>
      </c>
      <c r="C237" s="157" t="s">
        <v>328</v>
      </c>
      <c r="D237" s="157" t="s">
        <v>1251</v>
      </c>
      <c r="E237" s="156" t="s">
        <v>1097</v>
      </c>
      <c r="F237" s="157" t="s">
        <v>1252</v>
      </c>
      <c r="G237" s="157" t="s">
        <v>1253</v>
      </c>
      <c r="H237" s="157"/>
      <c r="I237" s="156" t="s">
        <v>418</v>
      </c>
      <c r="J237" s="157"/>
      <c r="K237" s="65"/>
      <c r="L237" s="65"/>
      <c r="M237" s="65"/>
      <c r="N237" s="65"/>
      <c r="O237" s="65"/>
      <c r="P237" s="65"/>
      <c r="Q237" s="65"/>
      <c r="R237" s="65"/>
      <c r="S237" s="65"/>
      <c r="T237" s="65"/>
      <c r="U237" s="65"/>
      <c r="V237" s="65"/>
      <c r="W237" s="65"/>
      <c r="X237" s="65"/>
      <c r="Y237" s="65"/>
      <c r="Z237" s="65"/>
    </row>
    <row r="238">
      <c r="A238" s="129">
        <v>46.0</v>
      </c>
      <c r="B238" s="156"/>
      <c r="C238" s="157"/>
      <c r="D238" s="157"/>
      <c r="E238" s="156"/>
      <c r="F238" s="157"/>
      <c r="G238" s="157"/>
      <c r="H238" s="157"/>
      <c r="I238" s="156"/>
      <c r="J238" s="157"/>
      <c r="K238" s="65"/>
      <c r="L238" s="65"/>
      <c r="M238" s="65"/>
      <c r="N238" s="65"/>
      <c r="O238" s="65"/>
      <c r="P238" s="65"/>
      <c r="Q238" s="65"/>
      <c r="R238" s="65"/>
      <c r="S238" s="65"/>
      <c r="T238" s="65"/>
      <c r="U238" s="65"/>
      <c r="V238" s="65"/>
      <c r="W238" s="65"/>
      <c r="X238" s="65"/>
      <c r="Y238" s="65"/>
      <c r="Z238" s="65"/>
    </row>
    <row r="239">
      <c r="A239" s="129">
        <v>47.0</v>
      </c>
      <c r="B239" s="156"/>
      <c r="C239" s="157"/>
      <c r="D239" s="157"/>
      <c r="E239" s="156"/>
      <c r="F239" s="157"/>
      <c r="G239" s="157"/>
      <c r="H239" s="157"/>
      <c r="I239" s="156"/>
      <c r="J239" s="157"/>
      <c r="K239" s="65"/>
      <c r="L239" s="65"/>
      <c r="M239" s="65"/>
      <c r="N239" s="65"/>
      <c r="O239" s="65"/>
      <c r="P239" s="65"/>
      <c r="Q239" s="65"/>
      <c r="R239" s="65"/>
      <c r="S239" s="65"/>
      <c r="T239" s="65"/>
      <c r="U239" s="65"/>
      <c r="V239" s="65"/>
      <c r="W239" s="65"/>
      <c r="X239" s="65"/>
      <c r="Y239" s="65"/>
      <c r="Z239" s="65"/>
    </row>
    <row r="240">
      <c r="A240" s="99"/>
      <c r="B240" s="111" t="s">
        <v>1254</v>
      </c>
      <c r="C240" s="102"/>
      <c r="D240" s="102"/>
      <c r="E240" s="102"/>
      <c r="F240" s="102"/>
      <c r="G240" s="102"/>
      <c r="H240" s="102"/>
      <c r="I240" s="102"/>
      <c r="J240" s="56"/>
      <c r="K240" s="113" t="s">
        <v>1255</v>
      </c>
      <c r="L240" s="113" t="s">
        <v>560</v>
      </c>
      <c r="M240" s="113" t="s">
        <v>561</v>
      </c>
      <c r="N240" s="113" t="s">
        <v>562</v>
      </c>
      <c r="O240" s="113" t="s">
        <v>563</v>
      </c>
      <c r="P240" s="113" t="s">
        <v>564</v>
      </c>
      <c r="Q240" s="88"/>
      <c r="R240" s="88"/>
      <c r="S240" s="65"/>
      <c r="T240" s="65"/>
      <c r="U240" s="65"/>
      <c r="V240" s="65"/>
      <c r="W240" s="65"/>
      <c r="X240" s="65"/>
      <c r="Y240" s="65"/>
      <c r="Z240" s="65"/>
    </row>
    <row r="241">
      <c r="A241" s="104"/>
      <c r="B241" s="105" t="s">
        <v>565</v>
      </c>
      <c r="C241" s="106" t="s">
        <v>1256</v>
      </c>
      <c r="D241" s="102"/>
      <c r="E241" s="102"/>
      <c r="F241" s="102"/>
      <c r="G241" s="102"/>
      <c r="H241" s="102"/>
      <c r="I241" s="102"/>
      <c r="J241" s="56"/>
      <c r="K241" s="131" t="s">
        <v>567</v>
      </c>
      <c r="L241" s="132">
        <v>4.0</v>
      </c>
      <c r="M241" s="132"/>
      <c r="N241" s="132">
        <v>5.0</v>
      </c>
      <c r="O241" s="132">
        <v>4.0</v>
      </c>
      <c r="P241" s="132">
        <v>2.0</v>
      </c>
      <c r="Q241" s="88">
        <f t="shared" ref="Q241:Q244" si="4">SUM(L241:P241)</f>
        <v>15</v>
      </c>
      <c r="R241" s="143">
        <f t="shared" ref="R241:R244" si="5">Q241/Q169-100%</f>
        <v>0.25</v>
      </c>
      <c r="S241" s="65"/>
      <c r="T241" s="65"/>
      <c r="U241" s="65"/>
      <c r="V241" s="65"/>
      <c r="W241" s="65"/>
      <c r="X241" s="65"/>
      <c r="Y241" s="65"/>
      <c r="Z241" s="65"/>
    </row>
    <row r="242">
      <c r="A242" s="104"/>
      <c r="B242" s="105" t="s">
        <v>568</v>
      </c>
      <c r="C242" s="106" t="s">
        <v>1257</v>
      </c>
      <c r="D242" s="102"/>
      <c r="E242" s="102"/>
      <c r="F242" s="102"/>
      <c r="G242" s="102"/>
      <c r="H242" s="102"/>
      <c r="I242" s="102"/>
      <c r="J242" s="56"/>
      <c r="K242" s="131" t="s">
        <v>570</v>
      </c>
      <c r="L242" s="132">
        <v>2.0</v>
      </c>
      <c r="M242" s="132"/>
      <c r="N242" s="132">
        <v>2.0</v>
      </c>
      <c r="O242" s="132">
        <v>1.0</v>
      </c>
      <c r="P242" s="133"/>
      <c r="Q242" s="88">
        <f t="shared" si="4"/>
        <v>5</v>
      </c>
      <c r="R242" s="143">
        <f t="shared" si="5"/>
        <v>0</v>
      </c>
      <c r="S242" s="65"/>
      <c r="T242" s="65"/>
      <c r="U242" s="65"/>
      <c r="V242" s="65"/>
      <c r="W242" s="65"/>
      <c r="X242" s="65"/>
      <c r="Y242" s="65"/>
      <c r="Z242" s="65"/>
    </row>
    <row r="243">
      <c r="A243" s="104"/>
      <c r="B243" s="105" t="s">
        <v>571</v>
      </c>
      <c r="C243" s="106" t="s">
        <v>1258</v>
      </c>
      <c r="D243" s="102"/>
      <c r="E243" s="102"/>
      <c r="F243" s="102"/>
      <c r="G243" s="102"/>
      <c r="H243" s="102"/>
      <c r="I243" s="102"/>
      <c r="J243" s="56"/>
      <c r="K243" s="134" t="s">
        <v>573</v>
      </c>
      <c r="L243" s="132">
        <v>4.0</v>
      </c>
      <c r="M243" s="132"/>
      <c r="N243" s="132">
        <v>15.0</v>
      </c>
      <c r="O243" s="132">
        <v>11.0</v>
      </c>
      <c r="P243" s="132">
        <v>2.0</v>
      </c>
      <c r="Q243" s="88">
        <f t="shared" si="4"/>
        <v>32</v>
      </c>
      <c r="R243" s="143">
        <f t="shared" si="5"/>
        <v>0.2307692308</v>
      </c>
      <c r="S243" s="65"/>
      <c r="T243" s="65"/>
      <c r="U243" s="65"/>
      <c r="V243" s="65"/>
      <c r="W243" s="65"/>
      <c r="X243" s="65"/>
      <c r="Y243" s="65"/>
      <c r="Z243" s="65"/>
    </row>
    <row r="244">
      <c r="A244" s="104"/>
      <c r="B244" s="105" t="s">
        <v>574</v>
      </c>
      <c r="C244" s="106" t="s">
        <v>1259</v>
      </c>
      <c r="D244" s="102"/>
      <c r="E244" s="102"/>
      <c r="F244" s="102"/>
      <c r="G244" s="102"/>
      <c r="H244" s="102"/>
      <c r="I244" s="102"/>
      <c r="J244" s="56"/>
      <c r="K244" s="134" t="s">
        <v>576</v>
      </c>
      <c r="L244" s="132">
        <v>1.0</v>
      </c>
      <c r="M244" s="132"/>
      <c r="N244" s="132">
        <v>1.0</v>
      </c>
      <c r="O244" s="132">
        <v>3.0</v>
      </c>
      <c r="P244" s="132"/>
      <c r="Q244" s="88">
        <f t="shared" si="4"/>
        <v>5</v>
      </c>
      <c r="R244" s="143">
        <f t="shared" si="5"/>
        <v>-0.5</v>
      </c>
      <c r="S244" s="65"/>
      <c r="T244" s="65"/>
      <c r="U244" s="65"/>
      <c r="V244" s="65"/>
      <c r="W244" s="65"/>
      <c r="X244" s="65"/>
      <c r="Y244" s="65"/>
      <c r="Z244" s="65"/>
    </row>
    <row r="245">
      <c r="A245" s="104"/>
      <c r="B245" s="105" t="s">
        <v>577</v>
      </c>
      <c r="C245" s="106" t="s">
        <v>1260</v>
      </c>
      <c r="D245" s="102"/>
      <c r="E245" s="102"/>
      <c r="F245" s="102"/>
      <c r="G245" s="102"/>
      <c r="H245" s="102"/>
      <c r="I245" s="102"/>
      <c r="J245" s="56"/>
      <c r="K245" s="135"/>
      <c r="L245" s="135"/>
      <c r="M245" s="135"/>
      <c r="N245" s="135"/>
      <c r="O245" s="135"/>
      <c r="P245" s="135"/>
      <c r="Q245" s="88"/>
      <c r="R245" s="88"/>
      <c r="S245" s="65"/>
      <c r="T245" s="65"/>
      <c r="U245" s="65"/>
      <c r="V245" s="65"/>
      <c r="W245" s="65"/>
      <c r="X245" s="65"/>
      <c r="Y245" s="65"/>
      <c r="Z245" s="65"/>
    </row>
    <row r="246">
      <c r="A246" s="104"/>
      <c r="B246" s="105" t="s">
        <v>579</v>
      </c>
      <c r="C246" s="106" t="s">
        <v>1261</v>
      </c>
      <c r="D246" s="102"/>
      <c r="E246" s="102"/>
      <c r="F246" s="102"/>
      <c r="G246" s="102"/>
      <c r="H246" s="102"/>
      <c r="I246" s="102"/>
      <c r="J246" s="56"/>
      <c r="K246" s="135"/>
      <c r="L246" s="135"/>
      <c r="M246" s="135"/>
      <c r="N246" s="135"/>
      <c r="O246" s="135"/>
      <c r="P246" s="135"/>
      <c r="Q246" s="136">
        <f>SUM(Q241:Q245)</f>
        <v>57</v>
      </c>
      <c r="R246" s="75" t="s">
        <v>1262</v>
      </c>
      <c r="S246" s="65"/>
      <c r="T246" s="65"/>
      <c r="U246" s="65"/>
      <c r="V246" s="65"/>
      <c r="W246" s="65"/>
      <c r="X246" s="65"/>
      <c r="Y246" s="65"/>
      <c r="Z246" s="65"/>
    </row>
    <row r="247">
      <c r="A247" s="109"/>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99"/>
      <c r="B248" s="111" t="s">
        <v>1263</v>
      </c>
      <c r="C248" s="102"/>
      <c r="D248" s="102"/>
      <c r="E248" s="102"/>
      <c r="F248" s="102"/>
      <c r="G248" s="102"/>
      <c r="H248" s="102"/>
      <c r="I248" s="102"/>
      <c r="J248" s="56"/>
      <c r="K248" s="103"/>
      <c r="Q248" s="65"/>
      <c r="R248" s="65"/>
      <c r="S248" s="65"/>
      <c r="T248" s="65"/>
      <c r="U248" s="65"/>
      <c r="V248" s="65"/>
      <c r="W248" s="65"/>
      <c r="X248" s="65"/>
      <c r="Y248" s="65"/>
      <c r="Z248" s="65"/>
    </row>
    <row r="249">
      <c r="A249" s="112"/>
      <c r="B249" s="78"/>
      <c r="C249" s="28" t="s">
        <v>581</v>
      </c>
      <c r="D249" s="28" t="s">
        <v>582</v>
      </c>
      <c r="E249" s="28" t="s">
        <v>583</v>
      </c>
      <c r="F249" s="113" t="s">
        <v>1040</v>
      </c>
      <c r="G249" s="113" t="s">
        <v>561</v>
      </c>
      <c r="H249" s="113" t="s">
        <v>562</v>
      </c>
      <c r="I249" s="113" t="s">
        <v>563</v>
      </c>
      <c r="J249" s="113" t="s">
        <v>1041</v>
      </c>
      <c r="K249" s="86"/>
      <c r="Q249" s="65"/>
      <c r="R249" s="65"/>
      <c r="S249" s="65"/>
      <c r="T249" s="65"/>
      <c r="U249" s="65"/>
      <c r="V249" s="65"/>
      <c r="W249" s="65"/>
      <c r="X249" s="65"/>
      <c r="Y249" s="65"/>
      <c r="Z249" s="65"/>
    </row>
    <row r="250">
      <c r="A250" s="112"/>
      <c r="B250" s="78"/>
      <c r="C250" s="73" t="s">
        <v>1042</v>
      </c>
      <c r="D250" s="73" t="s">
        <v>1264</v>
      </c>
      <c r="E250" s="73" t="s">
        <v>55</v>
      </c>
      <c r="F250" s="73" t="s">
        <v>1045</v>
      </c>
      <c r="G250" s="20" t="s">
        <v>1046</v>
      </c>
      <c r="H250" s="87" t="s">
        <v>1047</v>
      </c>
      <c r="I250" s="20" t="s">
        <v>1250</v>
      </c>
      <c r="J250" s="20"/>
      <c r="K250" s="65"/>
      <c r="M250" s="114"/>
      <c r="O250" s="114"/>
      <c r="P250" s="114"/>
      <c r="Q250" s="65"/>
      <c r="R250" s="65"/>
      <c r="S250" s="65"/>
      <c r="T250" s="65"/>
      <c r="U250" s="65"/>
      <c r="V250" s="65"/>
      <c r="W250" s="65"/>
      <c r="X250" s="65"/>
      <c r="Y250" s="65"/>
      <c r="Z250" s="65"/>
    </row>
    <row r="251">
      <c r="A251" s="112"/>
      <c r="B251" s="78"/>
      <c r="C251" s="73" t="s">
        <v>1265</v>
      </c>
      <c r="D251" s="73" t="s">
        <v>1266</v>
      </c>
      <c r="E251" s="144" t="s">
        <v>1267</v>
      </c>
      <c r="F251" s="56"/>
      <c r="G251" s="145" t="s">
        <v>1268</v>
      </c>
      <c r="H251" s="56"/>
      <c r="I251" s="87" t="s">
        <v>1269</v>
      </c>
      <c r="J251" s="73"/>
      <c r="K251" s="65"/>
      <c r="M251" s="114"/>
      <c r="O251" s="114"/>
      <c r="P251" s="114"/>
      <c r="Q251" s="65"/>
      <c r="R251" s="65"/>
      <c r="S251" s="65"/>
      <c r="T251" s="65"/>
      <c r="U251" s="65"/>
      <c r="V251" s="65"/>
      <c r="W251" s="65"/>
      <c r="X251" s="65"/>
      <c r="Y251" s="65"/>
      <c r="Z251" s="65"/>
    </row>
    <row r="252">
      <c r="A252" s="112"/>
      <c r="B252" s="78"/>
      <c r="C252" s="73" t="s">
        <v>1270</v>
      </c>
      <c r="D252" s="73" t="s">
        <v>1271</v>
      </c>
      <c r="E252" s="73" t="s">
        <v>1272</v>
      </c>
      <c r="F252" s="87" t="s">
        <v>1058</v>
      </c>
      <c r="G252" s="146" t="s">
        <v>1273</v>
      </c>
      <c r="H252" s="56"/>
      <c r="I252" s="87" t="s">
        <v>608</v>
      </c>
      <c r="J252" s="78"/>
      <c r="K252" s="65"/>
      <c r="L252" s="114"/>
      <c r="M252" s="114"/>
      <c r="N252" s="114"/>
      <c r="O252" s="114"/>
      <c r="P252" s="114"/>
      <c r="Q252" s="65"/>
      <c r="R252" s="65"/>
      <c r="S252" s="65"/>
      <c r="T252" s="65"/>
      <c r="U252" s="65"/>
      <c r="V252" s="65"/>
      <c r="W252" s="65"/>
      <c r="X252" s="65"/>
      <c r="Y252" s="65"/>
      <c r="Z252" s="65"/>
    </row>
    <row r="253">
      <c r="A253" s="112"/>
      <c r="B253" s="78"/>
      <c r="C253" s="73"/>
      <c r="D253" s="144" t="s">
        <v>1274</v>
      </c>
      <c r="E253" s="56"/>
      <c r="F253" s="87" t="s">
        <v>1042</v>
      </c>
      <c r="G253" s="73" t="s">
        <v>1275</v>
      </c>
      <c r="H253" s="73" t="s">
        <v>1064</v>
      </c>
      <c r="I253" s="73" t="s">
        <v>1228</v>
      </c>
      <c r="J253" s="78"/>
      <c r="K253" s="65"/>
      <c r="L253" s="114"/>
      <c r="M253" s="114"/>
      <c r="N253" s="114"/>
      <c r="O253" s="114"/>
      <c r="P253" s="114"/>
      <c r="Q253" s="65"/>
      <c r="R253" s="65"/>
      <c r="S253" s="65"/>
      <c r="T253" s="65"/>
      <c r="U253" s="65"/>
      <c r="V253" s="65"/>
      <c r="W253" s="65"/>
      <c r="X253" s="65"/>
      <c r="Y253" s="65"/>
      <c r="Z253" s="65"/>
    </row>
    <row r="254">
      <c r="A254" s="112"/>
      <c r="B254" s="78"/>
      <c r="C254" s="73"/>
      <c r="D254" s="144" t="s">
        <v>1065</v>
      </c>
      <c r="E254" s="56"/>
      <c r="F254" s="87" t="s">
        <v>1276</v>
      </c>
      <c r="G254" s="73"/>
      <c r="H254" s="73" t="s">
        <v>1277</v>
      </c>
      <c r="I254" s="73" t="s">
        <v>932</v>
      </c>
      <c r="J254" s="78"/>
      <c r="K254" s="65"/>
      <c r="L254" s="114"/>
      <c r="M254" s="114"/>
      <c r="N254" s="114"/>
      <c r="O254" s="114"/>
      <c r="P254" s="114"/>
      <c r="Q254" s="65"/>
      <c r="R254" s="65"/>
      <c r="S254" s="65"/>
      <c r="T254" s="65"/>
      <c r="U254" s="65"/>
      <c r="V254" s="65"/>
      <c r="W254" s="65"/>
      <c r="X254" s="65"/>
      <c r="Y254" s="65"/>
      <c r="Z254" s="65"/>
    </row>
    <row r="255">
      <c r="A255" s="112"/>
      <c r="B255" s="78"/>
      <c r="C255" s="73"/>
      <c r="D255" s="73" t="s">
        <v>1278</v>
      </c>
      <c r="E255" s="73" t="s">
        <v>1069</v>
      </c>
      <c r="F255" s="87" t="s">
        <v>1279</v>
      </c>
      <c r="G255" s="73"/>
      <c r="H255" s="73" t="s">
        <v>1280</v>
      </c>
      <c r="I255" s="73"/>
      <c r="J255" s="78"/>
      <c r="K255" s="65"/>
      <c r="L255" s="114"/>
      <c r="M255" s="114"/>
      <c r="N255" s="114"/>
      <c r="O255" s="114"/>
      <c r="P255" s="114"/>
      <c r="Q255" s="65"/>
      <c r="R255" s="65"/>
      <c r="S255" s="65"/>
      <c r="T255" s="65"/>
      <c r="U255" s="65"/>
      <c r="V255" s="65"/>
      <c r="W255" s="65"/>
      <c r="X255" s="65"/>
      <c r="Y255" s="65"/>
      <c r="Z255" s="65"/>
    </row>
    <row r="256">
      <c r="A256" s="112"/>
      <c r="B256" s="78"/>
      <c r="C256" s="73"/>
      <c r="D256" s="73" t="s">
        <v>1281</v>
      </c>
      <c r="E256" s="73"/>
      <c r="F256" s="87" t="s">
        <v>1282</v>
      </c>
      <c r="G256" s="73"/>
      <c r="H256" s="73" t="s">
        <v>1283</v>
      </c>
      <c r="I256" s="73"/>
      <c r="J256" s="78"/>
      <c r="K256" s="65"/>
      <c r="L256" s="114"/>
      <c r="M256" s="114"/>
      <c r="N256" s="114"/>
      <c r="O256" s="114"/>
      <c r="P256" s="114"/>
      <c r="Q256" s="65"/>
      <c r="R256" s="65"/>
      <c r="S256" s="65"/>
      <c r="T256" s="65"/>
      <c r="U256" s="65"/>
      <c r="V256" s="65"/>
      <c r="W256" s="65"/>
      <c r="X256" s="65"/>
      <c r="Y256" s="65"/>
      <c r="Z256" s="65"/>
    </row>
    <row r="257">
      <c r="A257" s="112"/>
      <c r="B257" s="78"/>
      <c r="C257" s="73"/>
      <c r="D257" s="73"/>
      <c r="E257" s="73"/>
      <c r="F257" s="87" t="s">
        <v>1284</v>
      </c>
      <c r="G257" s="73"/>
      <c r="H257" s="73" t="s">
        <v>51</v>
      </c>
      <c r="I257" s="73"/>
      <c r="J257" s="78"/>
      <c r="K257" s="65"/>
      <c r="L257" s="114"/>
      <c r="M257" s="114"/>
      <c r="N257" s="114"/>
      <c r="O257" s="114"/>
      <c r="P257" s="114"/>
      <c r="Q257" s="65"/>
      <c r="R257" s="65"/>
      <c r="S257" s="65"/>
      <c r="T257" s="65"/>
      <c r="U257" s="65"/>
      <c r="V257" s="65"/>
      <c r="W257" s="65"/>
      <c r="X257" s="65"/>
      <c r="Y257" s="65"/>
      <c r="Z257" s="65"/>
    </row>
    <row r="258">
      <c r="A258" s="112"/>
      <c r="B258" s="78"/>
      <c r="C258" s="73"/>
      <c r="D258" s="73"/>
      <c r="E258" s="73"/>
      <c r="F258" s="87"/>
      <c r="G258" s="73"/>
      <c r="H258" s="73" t="s">
        <v>1090</v>
      </c>
      <c r="I258" s="73"/>
      <c r="J258" s="78"/>
      <c r="K258" s="65"/>
      <c r="L258" s="114"/>
      <c r="M258" s="114"/>
      <c r="N258" s="114"/>
      <c r="O258" s="114"/>
      <c r="P258" s="114"/>
      <c r="Q258" s="65"/>
      <c r="R258" s="65"/>
      <c r="S258" s="65"/>
      <c r="T258" s="65"/>
      <c r="U258" s="65"/>
      <c r="V258" s="65"/>
      <c r="W258" s="65"/>
      <c r="X258" s="65"/>
      <c r="Y258" s="65"/>
      <c r="Z258" s="65"/>
    </row>
    <row r="259">
      <c r="A259" s="129">
        <v>1.0</v>
      </c>
      <c r="B259" s="77" t="s">
        <v>356</v>
      </c>
      <c r="C259" s="73" t="s">
        <v>357</v>
      </c>
      <c r="D259" s="73" t="s">
        <v>358</v>
      </c>
      <c r="E259" s="73"/>
      <c r="F259" s="97" t="s">
        <v>1073</v>
      </c>
      <c r="G259" s="73" t="s">
        <v>665</v>
      </c>
      <c r="H259" s="73" t="s">
        <v>666</v>
      </c>
      <c r="I259" s="73" t="s">
        <v>667</v>
      </c>
      <c r="J259" s="73"/>
      <c r="K259" s="65"/>
      <c r="L259" s="114"/>
      <c r="M259" s="114"/>
      <c r="N259" s="114"/>
      <c r="O259" s="114"/>
      <c r="P259" s="114"/>
      <c r="Q259" s="65"/>
      <c r="R259" s="65"/>
      <c r="S259" s="65"/>
      <c r="T259" s="65"/>
      <c r="U259" s="65"/>
      <c r="V259" s="65"/>
      <c r="W259" s="65"/>
      <c r="X259" s="65"/>
      <c r="Y259" s="65"/>
      <c r="Z259" s="65"/>
    </row>
    <row r="260">
      <c r="A260" s="129">
        <v>2.0</v>
      </c>
      <c r="B260" s="158" t="s">
        <v>546</v>
      </c>
      <c r="C260" s="73" t="s">
        <v>328</v>
      </c>
      <c r="D260" s="73" t="s">
        <v>1074</v>
      </c>
      <c r="E260" s="73" t="s">
        <v>1075</v>
      </c>
      <c r="F260" s="73" t="s">
        <v>1285</v>
      </c>
      <c r="G260" s="73" t="s">
        <v>1077</v>
      </c>
      <c r="H260" s="73" t="s">
        <v>549</v>
      </c>
      <c r="I260" s="73" t="s">
        <v>125</v>
      </c>
      <c r="J260" s="73" t="s">
        <v>1078</v>
      </c>
      <c r="K260" s="65"/>
      <c r="L260" s="65"/>
      <c r="M260" s="65"/>
      <c r="N260" s="65"/>
      <c r="O260" s="65"/>
      <c r="P260" s="65"/>
      <c r="Q260" s="65"/>
      <c r="R260" s="65"/>
      <c r="S260" s="65"/>
      <c r="T260" s="65"/>
      <c r="U260" s="65"/>
      <c r="V260" s="65"/>
      <c r="W260" s="65"/>
      <c r="X260" s="65"/>
      <c r="Y260" s="65"/>
      <c r="Z260" s="65"/>
    </row>
    <row r="261">
      <c r="A261" s="129">
        <v>3.0</v>
      </c>
      <c r="B261" s="159" t="s">
        <v>36</v>
      </c>
      <c r="C261" s="73" t="s">
        <v>186</v>
      </c>
      <c r="D261" s="73" t="s">
        <v>1079</v>
      </c>
      <c r="E261" s="73" t="s">
        <v>983</v>
      </c>
      <c r="F261" s="73" t="s">
        <v>1286</v>
      </c>
      <c r="G261" s="73" t="s">
        <v>1287</v>
      </c>
      <c r="H261" s="140" t="s">
        <v>210</v>
      </c>
      <c r="I261" s="73" t="s">
        <v>1288</v>
      </c>
      <c r="J261" s="73" t="s">
        <v>1289</v>
      </c>
      <c r="K261" s="65"/>
      <c r="L261" s="65"/>
      <c r="M261" s="65"/>
      <c r="N261" s="65"/>
      <c r="O261" s="65"/>
      <c r="P261" s="65"/>
      <c r="Q261" s="65"/>
      <c r="R261" s="65"/>
      <c r="S261" s="65"/>
      <c r="T261" s="65"/>
      <c r="U261" s="65"/>
      <c r="V261" s="65"/>
      <c r="W261" s="65"/>
      <c r="X261" s="65"/>
      <c r="Y261" s="65"/>
      <c r="Z261" s="65"/>
    </row>
    <row r="262">
      <c r="A262" s="129">
        <v>4.0</v>
      </c>
      <c r="B262" s="77" t="s">
        <v>71</v>
      </c>
      <c r="C262" s="73" t="s">
        <v>328</v>
      </c>
      <c r="D262" s="73" t="s">
        <v>1290</v>
      </c>
      <c r="E262" s="73" t="s">
        <v>983</v>
      </c>
      <c r="F262" s="73" t="s">
        <v>1291</v>
      </c>
      <c r="G262" s="73" t="s">
        <v>1292</v>
      </c>
      <c r="H262" s="140" t="s">
        <v>210</v>
      </c>
      <c r="I262" s="73" t="s">
        <v>1087</v>
      </c>
      <c r="J262" s="73" t="s">
        <v>1293</v>
      </c>
      <c r="K262" s="65"/>
      <c r="L262" s="65"/>
      <c r="M262" s="65"/>
      <c r="N262" s="65"/>
      <c r="O262" s="65"/>
      <c r="P262" s="65"/>
      <c r="Q262" s="65"/>
      <c r="R262" s="65"/>
      <c r="S262" s="65"/>
      <c r="T262" s="65"/>
      <c r="U262" s="65"/>
      <c r="V262" s="65"/>
      <c r="W262" s="65"/>
      <c r="X262" s="65"/>
      <c r="Y262" s="65"/>
      <c r="Z262" s="65"/>
    </row>
    <row r="263">
      <c r="A263" s="129">
        <v>5.0</v>
      </c>
      <c r="B263" s="158" t="s">
        <v>812</v>
      </c>
      <c r="C263" s="73" t="s">
        <v>328</v>
      </c>
      <c r="D263" s="73" t="s">
        <v>1008</v>
      </c>
      <c r="E263" s="73" t="s">
        <v>1294</v>
      </c>
      <c r="F263" s="73" t="s">
        <v>1295</v>
      </c>
      <c r="G263" s="73" t="s">
        <v>1296</v>
      </c>
      <c r="H263" s="140"/>
      <c r="I263" s="73" t="s">
        <v>361</v>
      </c>
      <c r="J263" s="73" t="s">
        <v>1297</v>
      </c>
      <c r="K263" s="65"/>
      <c r="L263" s="65"/>
      <c r="M263" s="65"/>
      <c r="N263" s="65"/>
      <c r="O263" s="65"/>
      <c r="P263" s="65"/>
      <c r="Q263" s="65"/>
      <c r="R263" s="65"/>
      <c r="S263" s="65"/>
      <c r="T263" s="65"/>
      <c r="U263" s="65"/>
      <c r="V263" s="65"/>
      <c r="W263" s="65"/>
      <c r="X263" s="65"/>
      <c r="Y263" s="65"/>
      <c r="Z263" s="65"/>
    </row>
    <row r="264">
      <c r="A264" s="129">
        <v>6.0</v>
      </c>
      <c r="B264" s="160" t="s">
        <v>1090</v>
      </c>
      <c r="C264" s="73" t="s">
        <v>186</v>
      </c>
      <c r="D264" s="73" t="s">
        <v>1091</v>
      </c>
      <c r="E264" s="22" t="s">
        <v>983</v>
      </c>
      <c r="F264" s="161" t="s">
        <v>1298</v>
      </c>
      <c r="G264" s="73" t="s">
        <v>1299</v>
      </c>
      <c r="H264" s="22" t="s">
        <v>210</v>
      </c>
      <c r="I264" s="20" t="s">
        <v>160</v>
      </c>
      <c r="J264" s="20" t="s">
        <v>1300</v>
      </c>
      <c r="K264" s="65"/>
      <c r="L264" s="65"/>
      <c r="M264" s="65"/>
      <c r="N264" s="65"/>
      <c r="O264" s="65"/>
      <c r="P264" s="65"/>
      <c r="Q264" s="65"/>
      <c r="R264" s="65"/>
      <c r="S264" s="65"/>
      <c r="T264" s="65"/>
      <c r="U264" s="65"/>
      <c r="V264" s="65"/>
      <c r="W264" s="65"/>
      <c r="X264" s="65"/>
      <c r="Y264" s="65"/>
      <c r="Z264" s="65"/>
    </row>
    <row r="265">
      <c r="A265" s="129">
        <v>7.0</v>
      </c>
      <c r="B265" s="34"/>
      <c r="C265" s="73" t="s">
        <v>328</v>
      </c>
      <c r="D265" s="20" t="s">
        <v>1301</v>
      </c>
      <c r="E265" s="22" t="s">
        <v>1294</v>
      </c>
      <c r="F265" s="20" t="s">
        <v>1302</v>
      </c>
      <c r="G265" s="120" t="s">
        <v>1303</v>
      </c>
      <c r="H265" s="20" t="s">
        <v>160</v>
      </c>
      <c r="I265" s="20" t="s">
        <v>125</v>
      </c>
      <c r="J265" s="20"/>
      <c r="K265" s="65"/>
      <c r="L265" s="65"/>
      <c r="M265" s="65"/>
      <c r="N265" s="65"/>
      <c r="O265" s="65"/>
      <c r="P265" s="65"/>
      <c r="Q265" s="65"/>
      <c r="R265" s="65"/>
      <c r="S265" s="65"/>
      <c r="T265" s="65"/>
      <c r="U265" s="65"/>
      <c r="V265" s="65"/>
      <c r="W265" s="65"/>
      <c r="X265" s="65"/>
      <c r="Y265" s="65"/>
      <c r="Z265" s="65"/>
    </row>
    <row r="266">
      <c r="A266" s="129">
        <v>8.0</v>
      </c>
      <c r="B266" s="150" t="s">
        <v>471</v>
      </c>
      <c r="C266" s="73" t="s">
        <v>328</v>
      </c>
      <c r="D266" s="20" t="s">
        <v>1096</v>
      </c>
      <c r="E266" s="22" t="s">
        <v>797</v>
      </c>
      <c r="F266" s="20" t="s">
        <v>1304</v>
      </c>
      <c r="G266" s="20"/>
      <c r="H266" s="152" t="s">
        <v>1100</v>
      </c>
      <c r="I266" s="152" t="s">
        <v>125</v>
      </c>
      <c r="J266" s="20" t="s">
        <v>1101</v>
      </c>
      <c r="K266" s="65"/>
      <c r="L266" s="65"/>
      <c r="M266" s="65"/>
      <c r="N266" s="65"/>
      <c r="O266" s="65"/>
      <c r="P266" s="65"/>
      <c r="Q266" s="65"/>
      <c r="R266" s="65"/>
      <c r="S266" s="65"/>
      <c r="T266" s="65"/>
      <c r="U266" s="65"/>
      <c r="V266" s="65"/>
      <c r="W266" s="65"/>
      <c r="X266" s="65"/>
      <c r="Y266" s="65"/>
      <c r="Z266" s="65"/>
    </row>
    <row r="267">
      <c r="A267" s="129">
        <v>9.0</v>
      </c>
      <c r="B267" s="34"/>
      <c r="C267" s="73" t="s">
        <v>328</v>
      </c>
      <c r="D267" s="20" t="s">
        <v>1305</v>
      </c>
      <c r="E267" s="20" t="s">
        <v>1306</v>
      </c>
      <c r="F267" s="120" t="s">
        <v>1307</v>
      </c>
      <c r="G267" s="20"/>
      <c r="H267" s="34"/>
      <c r="I267" s="34"/>
      <c r="J267" s="20" t="s">
        <v>1308</v>
      </c>
      <c r="K267" s="65"/>
      <c r="L267" s="65"/>
      <c r="M267" s="65"/>
      <c r="N267" s="65"/>
      <c r="O267" s="65"/>
      <c r="P267" s="65"/>
      <c r="Q267" s="65"/>
      <c r="R267" s="65"/>
      <c r="S267" s="65"/>
      <c r="T267" s="65"/>
      <c r="U267" s="65"/>
      <c r="V267" s="65"/>
      <c r="W267" s="65"/>
      <c r="X267" s="65"/>
      <c r="Y267" s="65"/>
      <c r="Z267" s="65"/>
    </row>
    <row r="268">
      <c r="A268" s="129">
        <v>10.0</v>
      </c>
      <c r="B268" s="162" t="s">
        <v>1102</v>
      </c>
      <c r="C268" s="73" t="s">
        <v>328</v>
      </c>
      <c r="D268" s="20" t="s">
        <v>1103</v>
      </c>
      <c r="E268" s="20" t="s">
        <v>1104</v>
      </c>
      <c r="F268" s="120" t="s">
        <v>1309</v>
      </c>
      <c r="G268" s="20" t="s">
        <v>1105</v>
      </c>
      <c r="H268" s="20" t="s">
        <v>1100</v>
      </c>
      <c r="I268" s="20" t="s">
        <v>125</v>
      </c>
      <c r="J268" s="20" t="s">
        <v>1106</v>
      </c>
      <c r="K268" s="65"/>
      <c r="L268" s="65"/>
      <c r="M268" s="65"/>
      <c r="N268" s="65"/>
      <c r="O268" s="65"/>
      <c r="P268" s="65"/>
      <c r="Q268" s="65"/>
      <c r="R268" s="65"/>
      <c r="S268" s="65"/>
      <c r="T268" s="65"/>
      <c r="U268" s="65"/>
      <c r="V268" s="65"/>
      <c r="W268" s="65"/>
      <c r="X268" s="65"/>
      <c r="Y268" s="65"/>
      <c r="Z268" s="65"/>
    </row>
    <row r="269">
      <c r="A269" s="129">
        <v>11.0</v>
      </c>
      <c r="B269" s="163" t="s">
        <v>1310</v>
      </c>
      <c r="C269" s="73" t="s">
        <v>328</v>
      </c>
      <c r="D269" s="20" t="s">
        <v>1107</v>
      </c>
      <c r="E269" s="20" t="s">
        <v>1097</v>
      </c>
      <c r="F269" s="20" t="s">
        <v>1311</v>
      </c>
      <c r="G269" s="20" t="s">
        <v>1312</v>
      </c>
      <c r="H269" s="152" t="s">
        <v>1110</v>
      </c>
      <c r="I269" s="152" t="s">
        <v>125</v>
      </c>
      <c r="J269" s="20" t="s">
        <v>1111</v>
      </c>
      <c r="K269" s="65"/>
      <c r="L269" s="65"/>
      <c r="M269" s="65"/>
      <c r="N269" s="65"/>
      <c r="O269" s="65"/>
      <c r="P269" s="65"/>
      <c r="Q269" s="65"/>
      <c r="R269" s="65"/>
      <c r="S269" s="65"/>
      <c r="T269" s="65"/>
      <c r="U269" s="65"/>
      <c r="V269" s="65"/>
      <c r="W269" s="65"/>
      <c r="X269" s="65"/>
      <c r="Y269" s="65"/>
      <c r="Z269" s="65"/>
    </row>
    <row r="270">
      <c r="A270" s="129">
        <v>12.0</v>
      </c>
      <c r="B270" s="13"/>
      <c r="C270" s="73" t="s">
        <v>328</v>
      </c>
      <c r="D270" s="20" t="s">
        <v>1112</v>
      </c>
      <c r="E270" s="20" t="s">
        <v>1097</v>
      </c>
      <c r="F270" s="20" t="s">
        <v>1313</v>
      </c>
      <c r="G270" s="20"/>
      <c r="H270" s="13"/>
      <c r="I270" s="13"/>
      <c r="J270" s="20" t="s">
        <v>1023</v>
      </c>
      <c r="K270" s="65"/>
      <c r="L270" s="65"/>
      <c r="M270" s="65"/>
      <c r="N270" s="65"/>
      <c r="O270" s="65"/>
      <c r="P270" s="65"/>
      <c r="Q270" s="65"/>
      <c r="R270" s="65"/>
      <c r="S270" s="65"/>
      <c r="T270" s="65"/>
      <c r="U270" s="65"/>
      <c r="V270" s="65"/>
      <c r="W270" s="65"/>
      <c r="X270" s="65"/>
      <c r="Y270" s="65"/>
      <c r="Z270" s="65"/>
    </row>
    <row r="271">
      <c r="A271" s="129">
        <v>13.0</v>
      </c>
      <c r="B271" s="13"/>
      <c r="C271" s="73" t="s">
        <v>328</v>
      </c>
      <c r="D271" s="20" t="s">
        <v>1314</v>
      </c>
      <c r="E271" s="20" t="s">
        <v>1097</v>
      </c>
      <c r="F271" s="20" t="s">
        <v>1315</v>
      </c>
      <c r="G271" s="20"/>
      <c r="H271" s="13"/>
      <c r="I271" s="34"/>
      <c r="J271" s="20" t="s">
        <v>1116</v>
      </c>
      <c r="K271" s="65"/>
      <c r="L271" s="65"/>
      <c r="M271" s="65"/>
      <c r="N271" s="65"/>
      <c r="O271" s="65"/>
      <c r="P271" s="65"/>
      <c r="Q271" s="65"/>
      <c r="R271" s="65"/>
      <c r="S271" s="65"/>
      <c r="T271" s="65"/>
      <c r="U271" s="65"/>
      <c r="V271" s="65"/>
      <c r="W271" s="65"/>
      <c r="X271" s="65"/>
      <c r="Y271" s="65"/>
      <c r="Z271" s="65"/>
    </row>
    <row r="272">
      <c r="A272" s="129">
        <v>14.0</v>
      </c>
      <c r="B272" s="13"/>
      <c r="C272" s="73" t="s">
        <v>328</v>
      </c>
      <c r="D272" s="20" t="s">
        <v>1316</v>
      </c>
      <c r="E272" s="20" t="s">
        <v>1104</v>
      </c>
      <c r="F272" s="20" t="s">
        <v>1317</v>
      </c>
      <c r="G272" s="20"/>
      <c r="H272" s="13"/>
      <c r="I272" s="20" t="s">
        <v>125</v>
      </c>
      <c r="J272" s="20" t="s">
        <v>1119</v>
      </c>
      <c r="K272" s="65"/>
      <c r="L272" s="65"/>
      <c r="M272" s="65"/>
      <c r="N272" s="65"/>
      <c r="O272" s="65"/>
      <c r="P272" s="65"/>
      <c r="Q272" s="65"/>
      <c r="R272" s="65"/>
      <c r="S272" s="65"/>
      <c r="T272" s="65"/>
      <c r="U272" s="65"/>
      <c r="V272" s="65"/>
      <c r="W272" s="65"/>
      <c r="X272" s="65"/>
      <c r="Y272" s="65"/>
      <c r="Z272" s="65"/>
    </row>
    <row r="273">
      <c r="A273" s="129">
        <v>15.0</v>
      </c>
      <c r="B273" s="13"/>
      <c r="C273" s="73" t="s">
        <v>328</v>
      </c>
      <c r="D273" s="20" t="s">
        <v>1318</v>
      </c>
      <c r="E273" s="20" t="s">
        <v>1294</v>
      </c>
      <c r="F273" s="20" t="s">
        <v>1319</v>
      </c>
      <c r="G273" s="20" t="s">
        <v>1320</v>
      </c>
      <c r="H273" s="13"/>
      <c r="I273" s="152" t="s">
        <v>125</v>
      </c>
      <c r="J273" s="20" t="s">
        <v>1321</v>
      </c>
      <c r="K273" s="65"/>
      <c r="L273" s="65"/>
      <c r="M273" s="65"/>
      <c r="N273" s="65"/>
      <c r="O273" s="65"/>
      <c r="P273" s="65"/>
      <c r="Q273" s="65"/>
      <c r="R273" s="65"/>
      <c r="S273" s="65"/>
      <c r="T273" s="65"/>
      <c r="U273" s="65"/>
      <c r="V273" s="65"/>
      <c r="W273" s="65"/>
      <c r="X273" s="65"/>
      <c r="Y273" s="65"/>
      <c r="Z273" s="65"/>
    </row>
    <row r="274">
      <c r="A274" s="129">
        <v>16.0</v>
      </c>
      <c r="B274" s="13"/>
      <c r="C274" s="73" t="s">
        <v>328</v>
      </c>
      <c r="D274" s="20" t="s">
        <v>1322</v>
      </c>
      <c r="E274" s="20" t="s">
        <v>1294</v>
      </c>
      <c r="F274" s="20" t="s">
        <v>1323</v>
      </c>
      <c r="G274" s="20" t="s">
        <v>1324</v>
      </c>
      <c r="H274" s="13"/>
      <c r="I274" s="152" t="s">
        <v>125</v>
      </c>
      <c r="J274" s="20"/>
      <c r="K274" s="65"/>
      <c r="L274" s="65"/>
      <c r="M274" s="65"/>
      <c r="N274" s="65"/>
      <c r="O274" s="65"/>
      <c r="P274" s="65"/>
      <c r="Q274" s="65"/>
      <c r="R274" s="65"/>
      <c r="S274" s="65"/>
      <c r="T274" s="65"/>
      <c r="U274" s="65"/>
      <c r="V274" s="65"/>
      <c r="W274" s="65"/>
      <c r="X274" s="65"/>
      <c r="Y274" s="65"/>
      <c r="Z274" s="65"/>
    </row>
    <row r="275">
      <c r="A275" s="129">
        <v>17.0</v>
      </c>
      <c r="B275" s="34"/>
      <c r="C275" s="73" t="s">
        <v>328</v>
      </c>
      <c r="D275" s="20" t="s">
        <v>1325</v>
      </c>
      <c r="E275" s="20" t="s">
        <v>1294</v>
      </c>
      <c r="F275" s="20" t="s">
        <v>1326</v>
      </c>
      <c r="G275" s="20"/>
      <c r="H275" s="34"/>
      <c r="I275" s="152" t="s">
        <v>125</v>
      </c>
      <c r="J275" s="20" t="s">
        <v>1327</v>
      </c>
      <c r="K275" s="65"/>
      <c r="L275" s="65"/>
      <c r="M275" s="65"/>
      <c r="N275" s="65"/>
      <c r="O275" s="65"/>
      <c r="P275" s="65"/>
      <c r="Q275" s="65"/>
      <c r="R275" s="65"/>
      <c r="S275" s="65"/>
      <c r="T275" s="65"/>
      <c r="U275" s="65"/>
      <c r="V275" s="65"/>
      <c r="W275" s="65"/>
      <c r="X275" s="65"/>
      <c r="Y275" s="65"/>
      <c r="Z275" s="65"/>
    </row>
    <row r="276">
      <c r="A276" s="129">
        <v>18.0</v>
      </c>
      <c r="B276" s="150" t="s">
        <v>465</v>
      </c>
      <c r="C276" s="73" t="s">
        <v>328</v>
      </c>
      <c r="D276" s="20" t="s">
        <v>1328</v>
      </c>
      <c r="E276" s="20" t="s">
        <v>1097</v>
      </c>
      <c r="F276" s="20" t="s">
        <v>1329</v>
      </c>
      <c r="G276" s="20" t="s">
        <v>1122</v>
      </c>
      <c r="H276" s="152" t="s">
        <v>1100</v>
      </c>
      <c r="I276" s="152" t="s">
        <v>125</v>
      </c>
      <c r="J276" s="20" t="s">
        <v>1330</v>
      </c>
      <c r="K276" s="65"/>
      <c r="L276" s="65"/>
      <c r="M276" s="65"/>
      <c r="N276" s="65"/>
      <c r="O276" s="65"/>
      <c r="P276" s="65"/>
      <c r="Q276" s="65"/>
      <c r="R276" s="65"/>
      <c r="S276" s="65"/>
      <c r="T276" s="65"/>
      <c r="U276" s="65"/>
      <c r="V276" s="65"/>
      <c r="W276" s="65"/>
      <c r="X276" s="65"/>
      <c r="Y276" s="65"/>
      <c r="Z276" s="65"/>
    </row>
    <row r="277">
      <c r="A277" s="129">
        <v>19.0</v>
      </c>
      <c r="B277" s="164" t="s">
        <v>1131</v>
      </c>
      <c r="C277" s="73" t="s">
        <v>328</v>
      </c>
      <c r="D277" s="20" t="s">
        <v>1132</v>
      </c>
      <c r="E277" s="20" t="s">
        <v>1294</v>
      </c>
      <c r="F277" s="18" t="s">
        <v>1331</v>
      </c>
      <c r="G277" s="20" t="s">
        <v>1332</v>
      </c>
      <c r="H277" s="20" t="s">
        <v>366</v>
      </c>
      <c r="I277" s="20" t="s">
        <v>1135</v>
      </c>
      <c r="J277" s="20"/>
      <c r="K277" s="65"/>
      <c r="L277" s="65"/>
      <c r="M277" s="65"/>
      <c r="N277" s="65"/>
      <c r="O277" s="65"/>
      <c r="P277" s="65"/>
      <c r="Q277" s="65"/>
      <c r="R277" s="65"/>
      <c r="S277" s="65"/>
      <c r="T277" s="65"/>
      <c r="U277" s="65"/>
      <c r="V277" s="65"/>
      <c r="W277" s="65"/>
      <c r="X277" s="65"/>
      <c r="Y277" s="65"/>
      <c r="Z277" s="65"/>
    </row>
    <row r="278">
      <c r="A278" s="129">
        <v>20.0</v>
      </c>
      <c r="B278" s="129" t="s">
        <v>362</v>
      </c>
      <c r="C278" s="73" t="s">
        <v>328</v>
      </c>
      <c r="D278" s="20" t="s">
        <v>1136</v>
      </c>
      <c r="E278" s="20" t="s">
        <v>1294</v>
      </c>
      <c r="F278" s="20" t="s">
        <v>1333</v>
      </c>
      <c r="G278" s="20"/>
      <c r="H278" s="20" t="s">
        <v>1139</v>
      </c>
      <c r="I278" s="20" t="s">
        <v>1140</v>
      </c>
      <c r="J278" s="20"/>
      <c r="K278" s="65"/>
      <c r="L278" s="65"/>
      <c r="M278" s="65"/>
      <c r="N278" s="65"/>
      <c r="O278" s="65"/>
      <c r="P278" s="65"/>
      <c r="Q278" s="65"/>
      <c r="R278" s="65"/>
      <c r="S278" s="65"/>
      <c r="T278" s="65"/>
      <c r="U278" s="65"/>
      <c r="V278" s="65"/>
      <c r="W278" s="65"/>
      <c r="X278" s="65"/>
      <c r="Y278" s="65"/>
      <c r="Z278" s="65"/>
    </row>
    <row r="279">
      <c r="A279" s="129">
        <v>21.0</v>
      </c>
      <c r="B279" s="129" t="s">
        <v>1142</v>
      </c>
      <c r="C279" s="73" t="s">
        <v>328</v>
      </c>
      <c r="D279" s="20" t="s">
        <v>1143</v>
      </c>
      <c r="E279" s="73" t="s">
        <v>1097</v>
      </c>
      <c r="F279" s="73" t="s">
        <v>1144</v>
      </c>
      <c r="G279" s="73"/>
      <c r="H279" s="73" t="s">
        <v>1145</v>
      </c>
      <c r="I279" s="73" t="s">
        <v>1146</v>
      </c>
      <c r="J279" s="73" t="s">
        <v>901</v>
      </c>
      <c r="K279" s="65"/>
      <c r="L279" s="65"/>
      <c r="M279" s="65"/>
      <c r="N279" s="65"/>
      <c r="O279" s="65"/>
      <c r="P279" s="65"/>
      <c r="Q279" s="65"/>
      <c r="R279" s="65"/>
      <c r="S279" s="65"/>
      <c r="T279" s="65"/>
      <c r="U279" s="65"/>
      <c r="V279" s="65"/>
      <c r="W279" s="65"/>
      <c r="X279" s="65"/>
      <c r="Y279" s="65"/>
      <c r="Z279" s="65"/>
    </row>
    <row r="280">
      <c r="A280" s="129">
        <v>22.0</v>
      </c>
      <c r="B280" s="129" t="s">
        <v>415</v>
      </c>
      <c r="C280" s="73" t="s">
        <v>328</v>
      </c>
      <c r="D280" s="20" t="s">
        <v>1154</v>
      </c>
      <c r="E280" s="73" t="s">
        <v>1097</v>
      </c>
      <c r="F280" s="73" t="s">
        <v>1334</v>
      </c>
      <c r="G280" s="73"/>
      <c r="H280" s="73"/>
      <c r="I280" s="73" t="s">
        <v>418</v>
      </c>
      <c r="J280" s="73" t="s">
        <v>1155</v>
      </c>
      <c r="K280" s="65"/>
      <c r="L280" s="65"/>
      <c r="M280" s="65"/>
      <c r="N280" s="65"/>
      <c r="O280" s="65"/>
      <c r="P280" s="65"/>
      <c r="Q280" s="65"/>
      <c r="R280" s="65"/>
      <c r="S280" s="65"/>
      <c r="T280" s="65"/>
      <c r="U280" s="65"/>
      <c r="V280" s="65"/>
      <c r="W280" s="65"/>
      <c r="X280" s="65"/>
      <c r="Y280" s="65"/>
      <c r="Z280" s="65"/>
    </row>
    <row r="281">
      <c r="A281" s="129">
        <v>23.0</v>
      </c>
      <c r="B281" s="129" t="s">
        <v>1018</v>
      </c>
      <c r="C281" s="73" t="s">
        <v>328</v>
      </c>
      <c r="D281" s="20" t="s">
        <v>1161</v>
      </c>
      <c r="E281" s="73" t="s">
        <v>1097</v>
      </c>
      <c r="F281" s="73" t="s">
        <v>1162</v>
      </c>
      <c r="G281" s="73" t="s">
        <v>1163</v>
      </c>
      <c r="H281" s="73"/>
      <c r="I281" s="73" t="s">
        <v>367</v>
      </c>
      <c r="J281" s="73"/>
      <c r="K281" s="65"/>
      <c r="L281" s="65"/>
      <c r="M281" s="65"/>
      <c r="N281" s="65"/>
      <c r="O281" s="65"/>
      <c r="P281" s="65"/>
      <c r="Q281" s="65"/>
      <c r="R281" s="65"/>
      <c r="S281" s="65"/>
      <c r="T281" s="65"/>
      <c r="U281" s="65"/>
      <c r="V281" s="65"/>
      <c r="W281" s="65"/>
      <c r="X281" s="65"/>
      <c r="Y281" s="65"/>
      <c r="Z281" s="65"/>
    </row>
    <row r="282">
      <c r="A282" s="129">
        <v>24.0</v>
      </c>
      <c r="B282" s="129" t="s">
        <v>1018</v>
      </c>
      <c r="C282" s="73" t="s">
        <v>328</v>
      </c>
      <c r="D282" s="20" t="s">
        <v>1164</v>
      </c>
      <c r="E282" s="73" t="s">
        <v>1097</v>
      </c>
      <c r="F282" s="73"/>
      <c r="G282" s="73" t="s">
        <v>1165</v>
      </c>
      <c r="H282" s="73"/>
      <c r="I282" s="73" t="s">
        <v>367</v>
      </c>
      <c r="J282" s="73"/>
      <c r="K282" s="65"/>
      <c r="L282" s="65"/>
      <c r="M282" s="65"/>
      <c r="N282" s="65"/>
      <c r="O282" s="65"/>
      <c r="P282" s="65"/>
      <c r="Q282" s="65"/>
      <c r="R282" s="65"/>
      <c r="S282" s="65"/>
      <c r="T282" s="65"/>
      <c r="U282" s="65"/>
      <c r="V282" s="65"/>
      <c r="W282" s="65"/>
      <c r="X282" s="65"/>
      <c r="Y282" s="65"/>
      <c r="Z282" s="65"/>
    </row>
    <row r="283">
      <c r="A283" s="132">
        <v>25.0</v>
      </c>
      <c r="B283" s="77" t="s">
        <v>1335</v>
      </c>
      <c r="C283" s="73" t="s">
        <v>328</v>
      </c>
      <c r="D283" s="73" t="s">
        <v>1166</v>
      </c>
      <c r="E283" s="73" t="s">
        <v>983</v>
      </c>
      <c r="F283" s="73" t="s">
        <v>1336</v>
      </c>
      <c r="G283" s="73"/>
      <c r="H283" s="140" t="s">
        <v>210</v>
      </c>
      <c r="I283" s="73" t="s">
        <v>986</v>
      </c>
      <c r="J283" s="73" t="s">
        <v>1337</v>
      </c>
      <c r="K283" s="65"/>
      <c r="L283" s="65"/>
      <c r="M283" s="65"/>
      <c r="N283" s="65"/>
      <c r="O283" s="65"/>
      <c r="P283" s="65"/>
      <c r="Q283" s="65"/>
      <c r="R283" s="65"/>
      <c r="S283" s="65"/>
      <c r="T283" s="65"/>
      <c r="U283" s="65"/>
      <c r="V283" s="65"/>
      <c r="W283" s="65"/>
      <c r="X283" s="65"/>
      <c r="Y283" s="65"/>
      <c r="Z283" s="65"/>
    </row>
    <row r="284">
      <c r="A284" s="132">
        <v>26.0</v>
      </c>
      <c r="B284" s="128" t="s">
        <v>415</v>
      </c>
      <c r="C284" s="125" t="s">
        <v>328</v>
      </c>
      <c r="D284" s="125" t="s">
        <v>1170</v>
      </c>
      <c r="E284" s="125"/>
      <c r="F284" s="27" t="s">
        <v>1338</v>
      </c>
      <c r="G284" s="125" t="s">
        <v>1172</v>
      </c>
      <c r="H284" s="165"/>
      <c r="I284" s="125" t="s">
        <v>418</v>
      </c>
      <c r="J284" s="116" t="s">
        <v>1173</v>
      </c>
      <c r="K284" s="65"/>
      <c r="L284" s="65"/>
      <c r="M284" s="65"/>
      <c r="N284" s="65"/>
      <c r="O284" s="65"/>
      <c r="P284" s="65"/>
      <c r="Q284" s="65"/>
      <c r="R284" s="65"/>
      <c r="S284" s="65"/>
      <c r="T284" s="65"/>
      <c r="U284" s="65"/>
      <c r="V284" s="65"/>
      <c r="W284" s="65"/>
      <c r="X284" s="65"/>
      <c r="Y284" s="65"/>
      <c r="Z284" s="65"/>
    </row>
    <row r="285">
      <c r="A285" s="132">
        <v>27.0</v>
      </c>
      <c r="B285" s="128" t="s">
        <v>608</v>
      </c>
      <c r="C285" s="125" t="s">
        <v>328</v>
      </c>
      <c r="D285" s="125" t="s">
        <v>1174</v>
      </c>
      <c r="E285" s="125"/>
      <c r="F285" s="27" t="s">
        <v>1339</v>
      </c>
      <c r="G285" s="125"/>
      <c r="H285" s="165"/>
      <c r="I285" s="125" t="s">
        <v>418</v>
      </c>
      <c r="J285" s="116"/>
      <c r="K285" s="65"/>
      <c r="L285" s="65"/>
      <c r="M285" s="65"/>
      <c r="N285" s="65"/>
      <c r="O285" s="65"/>
      <c r="P285" s="65"/>
      <c r="Q285" s="65"/>
      <c r="R285" s="65"/>
      <c r="S285" s="65"/>
      <c r="T285" s="65"/>
      <c r="U285" s="65"/>
      <c r="V285" s="65"/>
      <c r="W285" s="65"/>
      <c r="X285" s="65"/>
      <c r="Y285" s="65"/>
      <c r="Z285" s="65"/>
    </row>
    <row r="286">
      <c r="A286" s="132">
        <v>28.0</v>
      </c>
      <c r="B286" s="129" t="s">
        <v>1183</v>
      </c>
      <c r="C286" s="73" t="s">
        <v>328</v>
      </c>
      <c r="D286" s="22" t="s">
        <v>1184</v>
      </c>
      <c r="E286" s="22" t="s">
        <v>1097</v>
      </c>
      <c r="F286" s="20" t="s">
        <v>1340</v>
      </c>
      <c r="G286" s="20"/>
      <c r="H286" s="22" t="s">
        <v>210</v>
      </c>
      <c r="I286" s="22" t="s">
        <v>125</v>
      </c>
      <c r="J286" s="22" t="s">
        <v>1341</v>
      </c>
      <c r="K286" s="65"/>
      <c r="L286" s="65"/>
      <c r="M286" s="65"/>
      <c r="N286" s="65"/>
      <c r="O286" s="65"/>
      <c r="P286" s="65"/>
      <c r="Q286" s="65"/>
      <c r="R286" s="65"/>
      <c r="S286" s="65"/>
      <c r="T286" s="65"/>
      <c r="U286" s="65"/>
      <c r="V286" s="65"/>
      <c r="W286" s="65"/>
      <c r="X286" s="65"/>
      <c r="Y286" s="65"/>
      <c r="Z286" s="65"/>
    </row>
    <row r="287">
      <c r="A287" s="153">
        <v>29.0</v>
      </c>
      <c r="B287" s="160" t="s">
        <v>1342</v>
      </c>
      <c r="C287" s="73" t="s">
        <v>357</v>
      </c>
      <c r="D287" s="20" t="s">
        <v>1188</v>
      </c>
      <c r="E287" s="22" t="s">
        <v>1097</v>
      </c>
      <c r="F287" s="120" t="s">
        <v>1343</v>
      </c>
      <c r="G287" s="21"/>
      <c r="H287" s="151" t="s">
        <v>210</v>
      </c>
      <c r="I287" s="151" t="s">
        <v>125</v>
      </c>
      <c r="J287" s="20" t="s">
        <v>1190</v>
      </c>
      <c r="K287" s="65"/>
      <c r="L287" s="65"/>
      <c r="M287" s="65"/>
      <c r="N287" s="65"/>
      <c r="O287" s="65"/>
      <c r="P287" s="65"/>
      <c r="Q287" s="65"/>
      <c r="R287" s="65"/>
      <c r="S287" s="65"/>
      <c r="T287" s="65"/>
      <c r="U287" s="65"/>
      <c r="V287" s="65"/>
      <c r="W287" s="65"/>
      <c r="X287" s="65"/>
      <c r="Y287" s="65"/>
      <c r="Z287" s="65"/>
    </row>
    <row r="288">
      <c r="A288" s="34"/>
      <c r="B288" s="34"/>
      <c r="C288" s="73" t="s">
        <v>328</v>
      </c>
      <c r="D288" s="20" t="s">
        <v>1191</v>
      </c>
      <c r="E288" s="22" t="s">
        <v>1097</v>
      </c>
      <c r="F288" s="120" t="s">
        <v>1344</v>
      </c>
      <c r="G288" s="21"/>
      <c r="H288" s="34"/>
      <c r="I288" s="34"/>
      <c r="J288" s="21"/>
      <c r="K288" s="65"/>
      <c r="L288" s="65"/>
      <c r="M288" s="65"/>
      <c r="N288" s="65"/>
      <c r="O288" s="65"/>
      <c r="P288" s="65"/>
      <c r="Q288" s="65"/>
      <c r="R288" s="65"/>
      <c r="S288" s="65"/>
      <c r="T288" s="65"/>
      <c r="U288" s="65"/>
      <c r="V288" s="65"/>
      <c r="W288" s="65"/>
      <c r="X288" s="65"/>
      <c r="Y288" s="65"/>
      <c r="Z288" s="65"/>
    </row>
    <row r="289">
      <c r="A289" s="132">
        <v>30.0</v>
      </c>
      <c r="B289" s="166" t="s">
        <v>1193</v>
      </c>
      <c r="C289" s="125" t="s">
        <v>328</v>
      </c>
      <c r="D289" s="167" t="s">
        <v>1194</v>
      </c>
      <c r="E289" s="149" t="s">
        <v>1097</v>
      </c>
      <c r="F289" s="168" t="s">
        <v>1114</v>
      </c>
      <c r="G289" s="169"/>
      <c r="H289" s="148" t="s">
        <v>1196</v>
      </c>
      <c r="I289" s="149" t="s">
        <v>125</v>
      </c>
      <c r="J289" s="22" t="s">
        <v>1197</v>
      </c>
      <c r="K289" s="65"/>
      <c r="L289" s="65"/>
      <c r="M289" s="65"/>
      <c r="N289" s="65"/>
      <c r="O289" s="65"/>
      <c r="P289" s="65"/>
      <c r="Q289" s="65"/>
      <c r="R289" s="65"/>
      <c r="S289" s="65"/>
      <c r="T289" s="65"/>
      <c r="U289" s="65"/>
      <c r="V289" s="65"/>
      <c r="W289" s="65"/>
      <c r="X289" s="65"/>
      <c r="Y289" s="65"/>
      <c r="Z289" s="65"/>
    </row>
    <row r="290">
      <c r="A290" s="132">
        <v>31.0</v>
      </c>
      <c r="B290" s="129" t="s">
        <v>1198</v>
      </c>
      <c r="C290" s="73" t="s">
        <v>328</v>
      </c>
      <c r="D290" s="20" t="s">
        <v>1199</v>
      </c>
      <c r="E290" s="22" t="s">
        <v>1097</v>
      </c>
      <c r="F290" s="20" t="s">
        <v>1345</v>
      </c>
      <c r="G290" s="21"/>
      <c r="H290" s="22" t="s">
        <v>1201</v>
      </c>
      <c r="I290" s="22" t="s">
        <v>1201</v>
      </c>
      <c r="J290" s="21"/>
      <c r="K290" s="65"/>
      <c r="L290" s="65"/>
      <c r="M290" s="65"/>
      <c r="N290" s="65"/>
      <c r="O290" s="65"/>
      <c r="P290" s="65"/>
      <c r="Q290" s="65"/>
      <c r="R290" s="65"/>
      <c r="S290" s="65"/>
      <c r="T290" s="65"/>
      <c r="U290" s="65"/>
      <c r="V290" s="65"/>
      <c r="W290" s="65"/>
      <c r="X290" s="65"/>
      <c r="Y290" s="65"/>
      <c r="Z290" s="65"/>
    </row>
    <row r="291">
      <c r="A291" s="129">
        <v>32.0</v>
      </c>
      <c r="B291" s="129" t="s">
        <v>1202</v>
      </c>
      <c r="C291" s="73" t="s">
        <v>107</v>
      </c>
      <c r="D291" s="116" t="s">
        <v>1203</v>
      </c>
      <c r="E291" s="116" t="s">
        <v>1097</v>
      </c>
      <c r="F291" s="73" t="s">
        <v>1346</v>
      </c>
      <c r="G291" s="118"/>
      <c r="H291" s="116" t="s">
        <v>1206</v>
      </c>
      <c r="I291" s="116" t="s">
        <v>160</v>
      </c>
      <c r="J291" s="116" t="s">
        <v>1207</v>
      </c>
      <c r="K291" s="65"/>
      <c r="L291" s="65"/>
      <c r="M291" s="65"/>
      <c r="N291" s="65"/>
      <c r="O291" s="65"/>
      <c r="P291" s="65"/>
      <c r="Q291" s="65"/>
      <c r="R291" s="65"/>
      <c r="S291" s="65"/>
      <c r="T291" s="65"/>
      <c r="U291" s="65"/>
      <c r="V291" s="65"/>
      <c r="W291" s="65"/>
      <c r="X291" s="65"/>
      <c r="Y291" s="65"/>
      <c r="Z291" s="65"/>
    </row>
    <row r="292">
      <c r="A292" s="129">
        <v>33.0</v>
      </c>
      <c r="B292" s="129" t="s">
        <v>1208</v>
      </c>
      <c r="C292" s="73" t="s">
        <v>328</v>
      </c>
      <c r="D292" s="73" t="s">
        <v>1209</v>
      </c>
      <c r="E292" s="116" t="s">
        <v>1097</v>
      </c>
      <c r="F292" s="73" t="s">
        <v>1347</v>
      </c>
      <c r="G292" s="73" t="s">
        <v>1348</v>
      </c>
      <c r="H292" s="116" t="s">
        <v>210</v>
      </c>
      <c r="I292" s="116" t="s">
        <v>361</v>
      </c>
      <c r="J292" s="118"/>
      <c r="K292" s="65"/>
      <c r="L292" s="65"/>
      <c r="M292" s="65"/>
      <c r="N292" s="65"/>
      <c r="O292" s="65"/>
      <c r="P292" s="65"/>
      <c r="Q292" s="65"/>
      <c r="R292" s="65"/>
      <c r="S292" s="65"/>
      <c r="T292" s="65"/>
      <c r="U292" s="65"/>
      <c r="V292" s="65"/>
      <c r="W292" s="65"/>
      <c r="X292" s="65"/>
      <c r="Y292" s="65"/>
      <c r="Z292" s="65"/>
    </row>
    <row r="293">
      <c r="A293" s="129">
        <v>34.0</v>
      </c>
      <c r="B293" s="129" t="s">
        <v>932</v>
      </c>
      <c r="C293" s="73" t="s">
        <v>328</v>
      </c>
      <c r="D293" s="73" t="s">
        <v>1212</v>
      </c>
      <c r="E293" s="116" t="s">
        <v>1097</v>
      </c>
      <c r="F293" s="116" t="s">
        <v>1349</v>
      </c>
      <c r="G293" s="118"/>
      <c r="H293" s="118"/>
      <c r="I293" s="116" t="s">
        <v>418</v>
      </c>
      <c r="J293" s="116" t="s">
        <v>1213</v>
      </c>
      <c r="K293" s="65"/>
      <c r="L293" s="65"/>
      <c r="M293" s="65"/>
      <c r="N293" s="65"/>
      <c r="O293" s="65"/>
      <c r="P293" s="65"/>
      <c r="Q293" s="65"/>
      <c r="R293" s="65"/>
      <c r="S293" s="65"/>
      <c r="T293" s="65"/>
      <c r="U293" s="65"/>
      <c r="V293" s="65"/>
      <c r="W293" s="65"/>
      <c r="X293" s="65"/>
      <c r="Y293" s="65"/>
      <c r="Z293" s="65"/>
    </row>
    <row r="294">
      <c r="A294" s="129">
        <v>35.0</v>
      </c>
      <c r="B294" s="129" t="s">
        <v>932</v>
      </c>
      <c r="C294" s="73" t="s">
        <v>328</v>
      </c>
      <c r="D294" s="116" t="s">
        <v>1350</v>
      </c>
      <c r="E294" s="116" t="s">
        <v>1097</v>
      </c>
      <c r="F294" s="116" t="s">
        <v>1349</v>
      </c>
      <c r="G294" s="118"/>
      <c r="H294" s="118"/>
      <c r="I294" s="116" t="s">
        <v>418</v>
      </c>
      <c r="J294" s="116" t="s">
        <v>1213</v>
      </c>
      <c r="K294" s="65"/>
      <c r="L294" s="65"/>
      <c r="M294" s="65"/>
      <c r="N294" s="65"/>
      <c r="O294" s="65"/>
      <c r="P294" s="65"/>
      <c r="Q294" s="65"/>
      <c r="R294" s="65"/>
      <c r="S294" s="65"/>
      <c r="T294" s="65"/>
      <c r="U294" s="65"/>
      <c r="V294" s="65"/>
      <c r="W294" s="65"/>
      <c r="X294" s="65"/>
      <c r="Y294" s="65"/>
      <c r="Z294" s="65"/>
    </row>
    <row r="295">
      <c r="A295" s="129">
        <v>36.0</v>
      </c>
      <c r="B295" s="129" t="s">
        <v>932</v>
      </c>
      <c r="C295" s="73" t="s">
        <v>328</v>
      </c>
      <c r="D295" s="20" t="s">
        <v>1156</v>
      </c>
      <c r="E295" s="73" t="s">
        <v>1097</v>
      </c>
      <c r="F295" s="116" t="s">
        <v>1349</v>
      </c>
      <c r="G295" s="73"/>
      <c r="H295" s="73"/>
      <c r="I295" s="73" t="s">
        <v>418</v>
      </c>
      <c r="J295" s="73" t="s">
        <v>947</v>
      </c>
      <c r="K295" s="65"/>
      <c r="L295" s="65"/>
      <c r="M295" s="65"/>
      <c r="N295" s="65"/>
      <c r="O295" s="65"/>
      <c r="P295" s="65"/>
      <c r="Q295" s="65"/>
      <c r="R295" s="65"/>
      <c r="S295" s="65"/>
      <c r="T295" s="65"/>
      <c r="U295" s="65"/>
      <c r="V295" s="65"/>
      <c r="W295" s="65"/>
      <c r="X295" s="65"/>
      <c r="Y295" s="65"/>
      <c r="Z295" s="65"/>
    </row>
    <row r="296">
      <c r="A296" s="129">
        <v>37.0</v>
      </c>
      <c r="B296" s="129" t="s">
        <v>1215</v>
      </c>
      <c r="C296" s="73" t="s">
        <v>328</v>
      </c>
      <c r="D296" s="116" t="s">
        <v>1216</v>
      </c>
      <c r="E296" s="118"/>
      <c r="F296" s="116" t="s">
        <v>1349</v>
      </c>
      <c r="G296" s="118"/>
      <c r="H296" s="118"/>
      <c r="I296" s="116"/>
      <c r="J296" s="73" t="s">
        <v>1217</v>
      </c>
      <c r="K296" s="65"/>
      <c r="L296" s="65"/>
      <c r="M296" s="65"/>
      <c r="N296" s="65"/>
      <c r="O296" s="65"/>
      <c r="P296" s="65"/>
      <c r="Q296" s="65"/>
      <c r="R296" s="65"/>
      <c r="S296" s="65"/>
      <c r="T296" s="65"/>
      <c r="U296" s="65"/>
      <c r="V296" s="65"/>
      <c r="W296" s="65"/>
      <c r="X296" s="65"/>
      <c r="Y296" s="65"/>
      <c r="Z296" s="65"/>
    </row>
    <row r="297">
      <c r="A297" s="129">
        <v>38.0</v>
      </c>
      <c r="B297" s="129" t="s">
        <v>1225</v>
      </c>
      <c r="C297" s="73" t="s">
        <v>328</v>
      </c>
      <c r="D297" s="116" t="s">
        <v>1219</v>
      </c>
      <c r="E297" s="116" t="s">
        <v>1097</v>
      </c>
      <c r="F297" s="18" t="s">
        <v>1351</v>
      </c>
      <c r="G297" s="118"/>
      <c r="H297" s="118"/>
      <c r="I297" s="116" t="s">
        <v>418</v>
      </c>
      <c r="J297" s="73" t="s">
        <v>1227</v>
      </c>
      <c r="K297" s="65"/>
      <c r="L297" s="65"/>
      <c r="M297" s="65"/>
      <c r="N297" s="65"/>
      <c r="O297" s="65"/>
      <c r="P297" s="65"/>
      <c r="Q297" s="65"/>
      <c r="R297" s="65"/>
      <c r="S297" s="65"/>
      <c r="T297" s="65"/>
      <c r="U297" s="65"/>
      <c r="V297" s="65"/>
      <c r="W297" s="65"/>
      <c r="X297" s="65"/>
      <c r="Y297" s="65"/>
      <c r="Z297" s="65"/>
    </row>
    <row r="298">
      <c r="A298" s="129">
        <v>39.0</v>
      </c>
      <c r="B298" s="129" t="s">
        <v>1228</v>
      </c>
      <c r="C298" s="73" t="s">
        <v>328</v>
      </c>
      <c r="D298" s="116" t="s">
        <v>573</v>
      </c>
      <c r="E298" s="116" t="s">
        <v>1294</v>
      </c>
      <c r="F298" s="39" t="s">
        <v>1352</v>
      </c>
      <c r="G298" s="118"/>
      <c r="H298" s="118"/>
      <c r="I298" s="116" t="s">
        <v>418</v>
      </c>
      <c r="J298" s="73" t="s">
        <v>1230</v>
      </c>
      <c r="K298" s="65"/>
      <c r="L298" s="65"/>
      <c r="M298" s="65"/>
      <c r="N298" s="65"/>
      <c r="O298" s="65"/>
      <c r="P298" s="65"/>
      <c r="Q298" s="65"/>
      <c r="R298" s="65"/>
      <c r="S298" s="65"/>
      <c r="T298" s="65"/>
      <c r="U298" s="65"/>
      <c r="V298" s="65"/>
      <c r="W298" s="65"/>
      <c r="X298" s="65"/>
      <c r="Y298" s="65"/>
      <c r="Z298" s="65"/>
    </row>
    <row r="299">
      <c r="A299" s="129">
        <v>40.0</v>
      </c>
      <c r="B299" s="162" t="s">
        <v>1231</v>
      </c>
      <c r="C299" s="73" t="s">
        <v>186</v>
      </c>
      <c r="D299" s="116" t="s">
        <v>903</v>
      </c>
      <c r="E299" s="116" t="s">
        <v>1097</v>
      </c>
      <c r="F299" s="97" t="s">
        <v>1353</v>
      </c>
      <c r="G299" s="73"/>
      <c r="H299" s="116" t="s">
        <v>494</v>
      </c>
      <c r="I299" s="116" t="s">
        <v>160</v>
      </c>
      <c r="J299" s="73" t="s">
        <v>1234</v>
      </c>
      <c r="K299" s="65"/>
      <c r="L299" s="65"/>
      <c r="M299" s="65"/>
      <c r="N299" s="65"/>
      <c r="O299" s="65"/>
      <c r="P299" s="65"/>
      <c r="Q299" s="65"/>
      <c r="R299" s="65"/>
      <c r="S299" s="65"/>
      <c r="T299" s="65"/>
      <c r="U299" s="65"/>
      <c r="V299" s="65"/>
      <c r="W299" s="65"/>
      <c r="X299" s="65"/>
      <c r="Y299" s="65"/>
      <c r="Z299" s="65"/>
    </row>
    <row r="300">
      <c r="A300" s="129">
        <v>41.0</v>
      </c>
      <c r="B300" s="129" t="s">
        <v>1245</v>
      </c>
      <c r="C300" s="73" t="s">
        <v>408</v>
      </c>
      <c r="D300" s="73" t="s">
        <v>1246</v>
      </c>
      <c r="E300" s="73" t="s">
        <v>983</v>
      </c>
      <c r="F300" s="73" t="s">
        <v>1354</v>
      </c>
      <c r="G300" s="73" t="s">
        <v>1355</v>
      </c>
      <c r="H300" s="73" t="s">
        <v>494</v>
      </c>
      <c r="I300" s="116" t="s">
        <v>160</v>
      </c>
      <c r="J300" s="73" t="s">
        <v>1249</v>
      </c>
      <c r="K300" s="65"/>
      <c r="L300" s="65"/>
      <c r="M300" s="65"/>
      <c r="N300" s="65"/>
      <c r="O300" s="65"/>
      <c r="P300" s="65"/>
      <c r="Q300" s="65"/>
      <c r="R300" s="65"/>
      <c r="S300" s="65"/>
      <c r="T300" s="65"/>
      <c r="U300" s="65"/>
      <c r="V300" s="65"/>
      <c r="W300" s="65"/>
      <c r="X300" s="65"/>
      <c r="Y300" s="65"/>
      <c r="Z300" s="65"/>
    </row>
    <row r="301">
      <c r="A301" s="129">
        <v>42.0</v>
      </c>
      <c r="B301" s="170" t="s">
        <v>1250</v>
      </c>
      <c r="C301" s="157" t="s">
        <v>328</v>
      </c>
      <c r="D301" s="157" t="s">
        <v>1251</v>
      </c>
      <c r="E301" s="156" t="s">
        <v>1104</v>
      </c>
      <c r="F301" s="157" t="s">
        <v>1356</v>
      </c>
      <c r="G301" s="157"/>
      <c r="H301" s="157"/>
      <c r="I301" s="156" t="s">
        <v>418</v>
      </c>
      <c r="J301" s="157" t="s">
        <v>1357</v>
      </c>
      <c r="K301" s="65"/>
      <c r="L301" s="65"/>
      <c r="M301" s="65"/>
      <c r="N301" s="65"/>
      <c r="O301" s="65"/>
      <c r="P301" s="65"/>
      <c r="Q301" s="65"/>
      <c r="R301" s="65"/>
      <c r="S301" s="65"/>
      <c r="T301" s="65"/>
      <c r="U301" s="65"/>
      <c r="V301" s="65"/>
      <c r="W301" s="65"/>
      <c r="X301" s="65"/>
      <c r="Y301" s="65"/>
      <c r="Z301" s="65"/>
    </row>
    <row r="302">
      <c r="A302" s="129">
        <v>43.0</v>
      </c>
      <c r="B302" s="124" t="s">
        <v>1358</v>
      </c>
      <c r="C302" s="125" t="s">
        <v>107</v>
      </c>
      <c r="D302" s="125" t="s">
        <v>387</v>
      </c>
      <c r="E302" s="126" t="s">
        <v>1097</v>
      </c>
      <c r="F302" s="125" t="s">
        <v>1359</v>
      </c>
      <c r="G302" s="125" t="s">
        <v>1360</v>
      </c>
      <c r="H302" s="125" t="s">
        <v>210</v>
      </c>
      <c r="I302" s="126" t="s">
        <v>70</v>
      </c>
      <c r="J302" s="157" t="s">
        <v>1361</v>
      </c>
      <c r="K302" s="65"/>
      <c r="L302" s="65"/>
      <c r="M302" s="65"/>
      <c r="N302" s="65"/>
      <c r="O302" s="65"/>
      <c r="P302" s="65"/>
      <c r="Q302" s="65"/>
      <c r="R302" s="65"/>
      <c r="S302" s="65"/>
      <c r="T302" s="65"/>
      <c r="U302" s="65"/>
      <c r="V302" s="65"/>
      <c r="W302" s="65"/>
      <c r="X302" s="65"/>
      <c r="Y302" s="65"/>
      <c r="Z302" s="65"/>
    </row>
    <row r="303">
      <c r="A303" s="129">
        <v>44.0</v>
      </c>
      <c r="B303" s="126" t="s">
        <v>1238</v>
      </c>
      <c r="C303" s="125" t="s">
        <v>186</v>
      </c>
      <c r="D303" s="125" t="s">
        <v>1239</v>
      </c>
      <c r="E303" s="126" t="s">
        <v>1240</v>
      </c>
      <c r="F303" s="125" t="s">
        <v>1362</v>
      </c>
      <c r="G303" s="125" t="s">
        <v>1242</v>
      </c>
      <c r="H303" s="125" t="s">
        <v>1243</v>
      </c>
      <c r="I303" s="126" t="s">
        <v>125</v>
      </c>
      <c r="J303" s="73" t="s">
        <v>1244</v>
      </c>
      <c r="K303" s="65"/>
      <c r="L303" s="65"/>
      <c r="M303" s="65"/>
      <c r="N303" s="65"/>
      <c r="O303" s="65"/>
      <c r="P303" s="65"/>
      <c r="Q303" s="65"/>
      <c r="R303" s="65"/>
      <c r="S303" s="65"/>
      <c r="T303" s="65"/>
      <c r="U303" s="65"/>
      <c r="V303" s="65"/>
      <c r="W303" s="65"/>
      <c r="X303" s="65"/>
      <c r="Y303" s="65"/>
      <c r="Z303" s="65"/>
    </row>
    <row r="304">
      <c r="A304" s="129">
        <v>45.0</v>
      </c>
      <c r="B304" s="170" t="s">
        <v>1363</v>
      </c>
      <c r="C304" s="157" t="s">
        <v>328</v>
      </c>
      <c r="D304" s="157" t="s">
        <v>1364</v>
      </c>
      <c r="E304" s="156" t="s">
        <v>1104</v>
      </c>
      <c r="F304" s="157" t="s">
        <v>1365</v>
      </c>
      <c r="G304" s="157"/>
      <c r="H304" s="157" t="s">
        <v>1366</v>
      </c>
      <c r="I304" s="156" t="s">
        <v>125</v>
      </c>
      <c r="J304" s="157" t="s">
        <v>1367</v>
      </c>
      <c r="K304" s="65"/>
      <c r="L304" s="65"/>
      <c r="M304" s="65"/>
      <c r="N304" s="65"/>
      <c r="O304" s="65"/>
      <c r="P304" s="65"/>
      <c r="Q304" s="65"/>
      <c r="R304" s="65"/>
      <c r="S304" s="65"/>
      <c r="T304" s="65"/>
      <c r="U304" s="65"/>
      <c r="V304" s="65"/>
      <c r="W304" s="65"/>
      <c r="X304" s="65"/>
      <c r="Y304" s="65"/>
      <c r="Z304" s="65"/>
    </row>
    <row r="305">
      <c r="A305" s="129">
        <v>46.0</v>
      </c>
      <c r="B305" s="170" t="s">
        <v>1269</v>
      </c>
      <c r="C305" s="157" t="s">
        <v>328</v>
      </c>
      <c r="D305" s="157" t="s">
        <v>1368</v>
      </c>
      <c r="E305" s="156" t="s">
        <v>1294</v>
      </c>
      <c r="F305" s="157" t="s">
        <v>1369</v>
      </c>
      <c r="G305" s="157"/>
      <c r="H305" s="157"/>
      <c r="I305" s="156" t="s">
        <v>418</v>
      </c>
      <c r="J305" s="157" t="s">
        <v>1023</v>
      </c>
      <c r="K305" s="65"/>
      <c r="L305" s="65"/>
      <c r="M305" s="65"/>
      <c r="N305" s="65"/>
      <c r="O305" s="65"/>
      <c r="P305" s="65"/>
      <c r="Q305" s="65"/>
      <c r="R305" s="65"/>
      <c r="S305" s="65"/>
      <c r="T305" s="65"/>
      <c r="U305" s="65"/>
      <c r="V305" s="65"/>
      <c r="W305" s="65"/>
      <c r="X305" s="65"/>
      <c r="Y305" s="65"/>
      <c r="Z305" s="65"/>
    </row>
    <row r="306">
      <c r="A306" s="129">
        <v>47.0</v>
      </c>
      <c r="B306" s="170" t="s">
        <v>1269</v>
      </c>
      <c r="C306" s="157" t="s">
        <v>328</v>
      </c>
      <c r="D306" s="157" t="s">
        <v>1370</v>
      </c>
      <c r="E306" s="156" t="s">
        <v>1294</v>
      </c>
      <c r="F306" s="157" t="s">
        <v>1371</v>
      </c>
      <c r="G306" s="157"/>
      <c r="H306" s="157"/>
      <c r="I306" s="156" t="s">
        <v>418</v>
      </c>
      <c r="J306" s="157" t="s">
        <v>1023</v>
      </c>
      <c r="K306" s="65"/>
      <c r="L306" s="65"/>
      <c r="M306" s="65"/>
      <c r="N306" s="65"/>
      <c r="O306" s="65"/>
      <c r="P306" s="65"/>
      <c r="Q306" s="65"/>
      <c r="R306" s="65"/>
      <c r="S306" s="65"/>
      <c r="T306" s="65"/>
      <c r="U306" s="65"/>
      <c r="V306" s="65"/>
      <c r="W306" s="65"/>
      <c r="X306" s="65"/>
      <c r="Y306" s="65"/>
      <c r="Z306" s="65"/>
    </row>
    <row r="307">
      <c r="A307" s="129">
        <v>48.0</v>
      </c>
      <c r="B307" s="124" t="s">
        <v>1372</v>
      </c>
      <c r="C307" s="125" t="s">
        <v>328</v>
      </c>
      <c r="D307" s="125"/>
      <c r="E307" s="126" t="s">
        <v>1294</v>
      </c>
      <c r="F307" s="125" t="s">
        <v>1373</v>
      </c>
      <c r="G307" s="125"/>
      <c r="H307" s="125"/>
      <c r="I307" s="126" t="s">
        <v>367</v>
      </c>
      <c r="J307" s="157"/>
      <c r="K307" s="65"/>
      <c r="L307" s="65"/>
      <c r="M307" s="65"/>
      <c r="N307" s="65"/>
      <c r="O307" s="65"/>
      <c r="P307" s="65"/>
      <c r="Q307" s="65"/>
      <c r="R307" s="65"/>
      <c r="S307" s="65"/>
      <c r="T307" s="65"/>
      <c r="U307" s="65"/>
      <c r="V307" s="65"/>
      <c r="W307" s="65"/>
      <c r="X307" s="65"/>
      <c r="Y307" s="65"/>
      <c r="Z307" s="65"/>
    </row>
    <row r="308">
      <c r="A308" s="129">
        <v>49.0</v>
      </c>
      <c r="B308" s="170" t="s">
        <v>1374</v>
      </c>
      <c r="C308" s="157" t="s">
        <v>328</v>
      </c>
      <c r="D308" s="157" t="s">
        <v>1375</v>
      </c>
      <c r="E308" s="156" t="s">
        <v>1294</v>
      </c>
      <c r="F308" s="157" t="s">
        <v>1376</v>
      </c>
      <c r="G308" s="157"/>
      <c r="H308" s="157" t="s">
        <v>1377</v>
      </c>
      <c r="I308" s="156" t="s">
        <v>125</v>
      </c>
      <c r="J308" s="157" t="s">
        <v>1378</v>
      </c>
      <c r="K308" s="65"/>
      <c r="L308" s="65"/>
      <c r="M308" s="65"/>
      <c r="N308" s="65"/>
      <c r="O308" s="65"/>
      <c r="P308" s="65"/>
      <c r="Q308" s="65"/>
      <c r="R308" s="65"/>
      <c r="S308" s="65"/>
      <c r="T308" s="65"/>
      <c r="U308" s="65"/>
      <c r="V308" s="65"/>
      <c r="W308" s="65"/>
      <c r="X308" s="65"/>
      <c r="Y308" s="65"/>
      <c r="Z308" s="65"/>
    </row>
    <row r="309">
      <c r="A309" s="129">
        <v>50.0</v>
      </c>
      <c r="B309" s="170" t="s">
        <v>1379</v>
      </c>
      <c r="C309" s="157" t="s">
        <v>328</v>
      </c>
      <c r="D309" s="157" t="s">
        <v>1380</v>
      </c>
      <c r="E309" s="156" t="s">
        <v>1294</v>
      </c>
      <c r="F309" s="157" t="s">
        <v>1381</v>
      </c>
      <c r="G309" s="157"/>
      <c r="H309" s="157"/>
      <c r="I309" s="156" t="s">
        <v>367</v>
      </c>
      <c r="J309" s="157"/>
      <c r="K309" s="65"/>
      <c r="L309" s="65"/>
      <c r="M309" s="65"/>
      <c r="N309" s="65"/>
      <c r="O309" s="65"/>
      <c r="P309" s="65"/>
      <c r="Q309" s="65"/>
      <c r="R309" s="65"/>
      <c r="S309" s="65"/>
      <c r="T309" s="65"/>
      <c r="U309" s="65"/>
      <c r="V309" s="65"/>
      <c r="W309" s="65"/>
      <c r="X309" s="65"/>
      <c r="Y309" s="65"/>
      <c r="Z309" s="65"/>
    </row>
    <row r="310">
      <c r="A310" s="129">
        <v>51.0</v>
      </c>
      <c r="B310" s="170" t="s">
        <v>1382</v>
      </c>
      <c r="C310" s="157" t="s">
        <v>328</v>
      </c>
      <c r="D310" s="157" t="s">
        <v>1383</v>
      </c>
      <c r="E310" s="156" t="s">
        <v>1294</v>
      </c>
      <c r="F310" s="157" t="s">
        <v>1384</v>
      </c>
      <c r="G310" s="157" t="s">
        <v>1385</v>
      </c>
      <c r="H310" s="157"/>
      <c r="I310" s="156" t="s">
        <v>418</v>
      </c>
      <c r="J310" s="157" t="s">
        <v>1386</v>
      </c>
      <c r="K310" s="65"/>
      <c r="L310" s="65"/>
      <c r="M310" s="65"/>
      <c r="N310" s="65"/>
      <c r="O310" s="65"/>
      <c r="P310" s="65"/>
      <c r="Q310" s="65"/>
      <c r="R310" s="65"/>
      <c r="S310" s="65"/>
      <c r="T310" s="65"/>
      <c r="U310" s="65"/>
      <c r="V310" s="65"/>
      <c r="W310" s="65"/>
      <c r="X310" s="65"/>
      <c r="Y310" s="65"/>
      <c r="Z310" s="65"/>
    </row>
    <row r="311">
      <c r="A311" s="129">
        <v>52.0</v>
      </c>
      <c r="B311" s="170" t="s">
        <v>1387</v>
      </c>
      <c r="C311" s="157" t="s">
        <v>328</v>
      </c>
      <c r="D311" s="157" t="s">
        <v>1388</v>
      </c>
      <c r="E311" s="156" t="s">
        <v>1294</v>
      </c>
      <c r="F311" s="157" t="s">
        <v>1389</v>
      </c>
      <c r="G311" s="157"/>
      <c r="H311" s="157"/>
      <c r="I311" s="156" t="s">
        <v>418</v>
      </c>
      <c r="J311" s="157"/>
      <c r="K311" s="65"/>
      <c r="L311" s="65"/>
      <c r="M311" s="65"/>
      <c r="N311" s="65"/>
      <c r="O311" s="65"/>
      <c r="P311" s="65"/>
      <c r="Q311" s="65"/>
      <c r="R311" s="65"/>
      <c r="S311" s="65"/>
      <c r="T311" s="65"/>
      <c r="U311" s="65"/>
      <c r="V311" s="65"/>
      <c r="W311" s="65"/>
      <c r="X311" s="65"/>
      <c r="Y311" s="65"/>
      <c r="Z311" s="65"/>
    </row>
    <row r="312" ht="47.25" customHeight="1">
      <c r="A312" s="171">
        <v>53.0</v>
      </c>
      <c r="B312" s="170" t="s">
        <v>1390</v>
      </c>
      <c r="C312" s="172" t="s">
        <v>328</v>
      </c>
      <c r="D312" s="157" t="s">
        <v>1391</v>
      </c>
      <c r="E312" s="156" t="s">
        <v>1294</v>
      </c>
      <c r="F312" s="157" t="s">
        <v>1392</v>
      </c>
      <c r="G312" s="173"/>
      <c r="H312" s="157"/>
      <c r="I312" s="156" t="s">
        <v>367</v>
      </c>
      <c r="J312" s="173"/>
      <c r="K312" s="65"/>
      <c r="L312" s="65"/>
      <c r="M312" s="65"/>
      <c r="N312" s="65"/>
      <c r="O312" s="65"/>
      <c r="P312" s="65"/>
      <c r="Q312" s="65"/>
      <c r="R312" s="65"/>
      <c r="S312" s="65"/>
      <c r="T312" s="65"/>
      <c r="U312" s="65"/>
      <c r="V312" s="65"/>
      <c r="W312" s="65"/>
      <c r="X312" s="65"/>
      <c r="Y312" s="65"/>
      <c r="Z312" s="65"/>
    </row>
    <row r="313">
      <c r="A313" s="171">
        <v>54.0</v>
      </c>
      <c r="B313" s="170" t="s">
        <v>1393</v>
      </c>
      <c r="C313" s="174" t="s">
        <v>328</v>
      </c>
      <c r="D313" s="157" t="s">
        <v>1394</v>
      </c>
      <c r="E313" s="156" t="s">
        <v>1294</v>
      </c>
      <c r="F313" s="157" t="s">
        <v>1395</v>
      </c>
      <c r="G313" s="173"/>
      <c r="H313" s="157" t="s">
        <v>1396</v>
      </c>
      <c r="I313" s="156" t="s">
        <v>418</v>
      </c>
      <c r="J313" s="173"/>
      <c r="K313" s="65"/>
      <c r="L313" s="65"/>
      <c r="M313" s="65"/>
      <c r="N313" s="65"/>
      <c r="O313" s="65"/>
      <c r="P313" s="65"/>
      <c r="Q313" s="65"/>
      <c r="R313" s="65"/>
      <c r="S313" s="65"/>
      <c r="T313" s="65"/>
      <c r="U313" s="65"/>
      <c r="V313" s="65"/>
      <c r="W313" s="65"/>
      <c r="X313" s="65"/>
      <c r="Y313" s="65"/>
      <c r="Z313" s="65"/>
    </row>
    <row r="314">
      <c r="A314" s="175"/>
      <c r="B314" s="170"/>
      <c r="C314" s="175"/>
      <c r="D314" s="157"/>
      <c r="E314" s="156"/>
      <c r="F314" s="157"/>
      <c r="G314" s="176"/>
      <c r="H314" s="157"/>
      <c r="I314" s="156"/>
      <c r="J314" s="176"/>
      <c r="K314" s="65"/>
      <c r="L314" s="65"/>
      <c r="M314" s="65"/>
      <c r="N314" s="65"/>
      <c r="O314" s="65"/>
      <c r="P314" s="65"/>
      <c r="Q314" s="65"/>
      <c r="R314" s="65"/>
      <c r="S314" s="65"/>
      <c r="T314" s="65"/>
      <c r="U314" s="65"/>
      <c r="V314" s="65"/>
      <c r="W314" s="65"/>
      <c r="X314" s="65"/>
      <c r="Y314" s="65"/>
      <c r="Z314" s="65"/>
    </row>
    <row r="315">
      <c r="A315" s="175"/>
      <c r="B315" s="170"/>
      <c r="C315" s="175"/>
      <c r="D315" s="157"/>
      <c r="E315" s="156"/>
      <c r="F315" s="157"/>
      <c r="G315" s="176"/>
      <c r="H315" s="157"/>
      <c r="I315" s="156"/>
      <c r="J315" s="176"/>
      <c r="K315" s="65"/>
      <c r="L315" s="65"/>
      <c r="M315" s="65"/>
      <c r="N315" s="65"/>
      <c r="O315" s="65"/>
      <c r="P315" s="65"/>
      <c r="Q315" s="65"/>
      <c r="R315" s="65"/>
      <c r="S315" s="65"/>
      <c r="T315" s="65"/>
      <c r="U315" s="65"/>
      <c r="V315" s="65"/>
      <c r="W315" s="65"/>
      <c r="X315" s="65"/>
      <c r="Y315" s="65"/>
      <c r="Z315" s="65"/>
    </row>
    <row r="316">
      <c r="A316" s="175"/>
      <c r="B316" s="170"/>
      <c r="C316" s="175"/>
      <c r="D316" s="157"/>
      <c r="E316" s="156"/>
      <c r="F316" s="157"/>
      <c r="G316" s="176"/>
      <c r="H316" s="157"/>
      <c r="I316" s="156"/>
      <c r="J316" s="176"/>
      <c r="K316" s="65"/>
      <c r="L316" s="65"/>
      <c r="M316" s="65"/>
      <c r="N316" s="65"/>
      <c r="O316" s="65"/>
      <c r="P316" s="65"/>
      <c r="Q316" s="65"/>
      <c r="R316" s="65"/>
      <c r="S316" s="65"/>
      <c r="T316" s="65"/>
      <c r="U316" s="65"/>
      <c r="V316" s="65"/>
      <c r="W316" s="65"/>
      <c r="X316" s="65"/>
      <c r="Y316" s="65"/>
      <c r="Z316" s="65"/>
    </row>
    <row r="317">
      <c r="A317" s="175"/>
      <c r="B317" s="170"/>
      <c r="C317" s="175"/>
      <c r="D317" s="157"/>
      <c r="E317" s="156"/>
      <c r="F317" s="157"/>
      <c r="G317" s="176"/>
      <c r="H317" s="157"/>
      <c r="I317" s="156"/>
      <c r="J317" s="176"/>
      <c r="K317" s="65"/>
      <c r="L317" s="65"/>
      <c r="M317" s="65"/>
      <c r="N317" s="65"/>
      <c r="O317" s="65"/>
      <c r="P317" s="65"/>
      <c r="Q317" s="65"/>
      <c r="R317" s="65"/>
      <c r="S317" s="65"/>
      <c r="T317" s="65"/>
      <c r="U317" s="65"/>
      <c r="V317" s="65"/>
      <c r="W317" s="65"/>
      <c r="X317" s="65"/>
      <c r="Y317" s="65"/>
      <c r="Z317" s="65"/>
    </row>
    <row r="318">
      <c r="A318" s="175"/>
      <c r="B318" s="170"/>
      <c r="C318" s="175"/>
      <c r="D318" s="157"/>
      <c r="E318" s="156"/>
      <c r="F318" s="157"/>
      <c r="G318" s="176"/>
      <c r="H318" s="157"/>
      <c r="I318" s="156"/>
      <c r="J318" s="176"/>
      <c r="K318" s="65"/>
      <c r="L318" s="65"/>
      <c r="M318" s="65"/>
      <c r="N318" s="65"/>
      <c r="O318" s="65"/>
      <c r="P318" s="65"/>
      <c r="Q318" s="65"/>
      <c r="R318" s="65"/>
      <c r="S318" s="65"/>
      <c r="T318" s="65"/>
      <c r="U318" s="65"/>
      <c r="V318" s="65"/>
      <c r="W318" s="65"/>
      <c r="X318" s="65"/>
      <c r="Y318" s="65"/>
      <c r="Z318" s="65"/>
    </row>
    <row r="319">
      <c r="A319" s="175"/>
      <c r="B319" s="170"/>
      <c r="C319" s="175"/>
      <c r="D319" s="157"/>
      <c r="E319" s="156"/>
      <c r="F319" s="157"/>
      <c r="G319" s="176"/>
      <c r="H319" s="157"/>
      <c r="I319" s="156"/>
      <c r="J319" s="176"/>
      <c r="K319" s="65"/>
      <c r="L319" s="65"/>
      <c r="M319" s="65"/>
      <c r="N319" s="65"/>
      <c r="O319" s="65"/>
      <c r="P319" s="65"/>
      <c r="Q319" s="65"/>
      <c r="R319" s="65"/>
      <c r="S319" s="65"/>
      <c r="T319" s="65"/>
      <c r="U319" s="65"/>
      <c r="V319" s="65"/>
      <c r="W319" s="65"/>
      <c r="X319" s="65"/>
      <c r="Y319" s="65"/>
      <c r="Z319" s="65"/>
    </row>
    <row r="320">
      <c r="A320" s="109"/>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109"/>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109"/>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109"/>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109"/>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109"/>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109"/>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109"/>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109"/>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109"/>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109"/>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109"/>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109"/>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109"/>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109"/>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109"/>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109"/>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109"/>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109"/>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109"/>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109"/>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109"/>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109"/>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109"/>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109"/>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109"/>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109"/>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109"/>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109"/>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109"/>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109"/>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109"/>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109"/>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109"/>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109"/>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109"/>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109"/>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109"/>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109"/>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109"/>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109"/>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109"/>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109"/>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109"/>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109"/>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109"/>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109"/>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109"/>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109"/>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109"/>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109"/>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109"/>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109"/>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109"/>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109"/>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109"/>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109"/>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109"/>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109"/>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109"/>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109"/>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109"/>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109"/>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109"/>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109"/>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109"/>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109"/>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109"/>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109"/>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109"/>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109"/>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109"/>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109"/>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109"/>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109"/>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109"/>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109"/>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109"/>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109"/>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109"/>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109"/>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109"/>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109"/>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109"/>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109"/>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109"/>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109"/>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109"/>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109"/>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109"/>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109"/>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109"/>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109"/>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109"/>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109"/>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109"/>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109"/>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109"/>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109"/>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109"/>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109"/>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109"/>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109"/>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109"/>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109"/>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109"/>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109"/>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109"/>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109"/>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109"/>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109"/>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109"/>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109"/>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109"/>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109"/>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109"/>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109"/>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109"/>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109"/>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109"/>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109"/>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109"/>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109"/>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109"/>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109"/>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109"/>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109"/>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109"/>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109"/>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109"/>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109"/>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109"/>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109"/>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109"/>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109"/>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109"/>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109"/>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109"/>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109"/>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109"/>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109"/>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109"/>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109"/>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109"/>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109"/>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109"/>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109"/>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109"/>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109"/>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109"/>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109"/>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109"/>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109"/>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109"/>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109"/>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109"/>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109"/>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109"/>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109"/>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109"/>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109"/>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109"/>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109"/>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109"/>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109"/>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109"/>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109"/>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109"/>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109"/>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109"/>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109"/>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109"/>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109"/>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109"/>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109"/>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109"/>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109"/>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109"/>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109"/>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109"/>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109"/>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109"/>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109"/>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109"/>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109"/>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109"/>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109"/>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109"/>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109"/>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109"/>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109"/>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109"/>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109"/>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109"/>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109"/>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109"/>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109"/>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109"/>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109"/>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109"/>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109"/>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109"/>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109"/>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109"/>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109"/>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109"/>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109"/>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109"/>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109"/>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109"/>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109"/>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109"/>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109"/>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109"/>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109"/>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109"/>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109"/>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109"/>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109"/>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109"/>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109"/>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109"/>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109"/>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109"/>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109"/>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109"/>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109"/>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109"/>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109"/>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109"/>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109"/>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109"/>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109"/>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109"/>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109"/>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109"/>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109"/>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109"/>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109"/>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109"/>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109"/>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109"/>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109"/>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109"/>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109"/>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109"/>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109"/>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109"/>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109"/>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109"/>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109"/>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109"/>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109"/>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109"/>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109"/>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109"/>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109"/>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109"/>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109"/>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109"/>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109"/>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109"/>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109"/>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109"/>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109"/>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109"/>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109"/>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109"/>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109"/>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109"/>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109"/>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109"/>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109"/>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109"/>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109"/>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109"/>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109"/>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109"/>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109"/>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109"/>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109"/>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109"/>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109"/>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109"/>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109"/>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109"/>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109"/>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109"/>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109"/>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109"/>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109"/>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109"/>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109"/>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109"/>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109"/>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109"/>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109"/>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109"/>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109"/>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109"/>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109"/>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109"/>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109"/>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109"/>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109"/>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109"/>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109"/>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109"/>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109"/>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109"/>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109"/>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109"/>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109"/>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109"/>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109"/>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109"/>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109"/>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109"/>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109"/>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109"/>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109"/>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109"/>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109"/>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109"/>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109"/>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109"/>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109"/>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109"/>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109"/>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109"/>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109"/>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109"/>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109"/>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109"/>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109"/>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109"/>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109"/>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109"/>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109"/>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109"/>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109"/>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109"/>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109"/>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109"/>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109"/>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109"/>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109"/>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109"/>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109"/>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109"/>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109"/>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109"/>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109"/>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109"/>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109"/>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109"/>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109"/>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109"/>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109"/>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109"/>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109"/>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109"/>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109"/>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109"/>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109"/>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109"/>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109"/>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109"/>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109"/>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109"/>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109"/>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109"/>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109"/>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109"/>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109"/>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109"/>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109"/>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109"/>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109"/>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109"/>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109"/>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109"/>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109"/>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109"/>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109"/>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109"/>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109"/>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109"/>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109"/>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109"/>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109"/>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109"/>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109"/>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109"/>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109"/>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109"/>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109"/>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109"/>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109"/>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109"/>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109"/>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109"/>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109"/>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109"/>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109"/>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109"/>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109"/>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109"/>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109"/>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109"/>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109"/>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109"/>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109"/>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109"/>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109"/>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109"/>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109"/>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109"/>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109"/>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109"/>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109"/>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109"/>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109"/>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109"/>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109"/>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109"/>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109"/>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109"/>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109"/>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109"/>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109"/>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109"/>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109"/>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109"/>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109"/>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109"/>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109"/>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109"/>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109"/>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109"/>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109"/>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109"/>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109"/>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109"/>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109"/>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109"/>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109"/>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109"/>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109"/>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109"/>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109"/>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109"/>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109"/>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109"/>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109"/>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109"/>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109"/>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109"/>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109"/>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109"/>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109"/>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109"/>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109"/>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109"/>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109"/>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109"/>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109"/>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109"/>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109"/>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109"/>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109"/>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109"/>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109"/>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109"/>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109"/>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109"/>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109"/>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109"/>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109"/>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109"/>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109"/>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109"/>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109"/>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109"/>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109"/>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109"/>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109"/>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109"/>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109"/>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109"/>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109"/>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109"/>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109"/>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109"/>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109"/>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109"/>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109"/>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109"/>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109"/>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109"/>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109"/>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109"/>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109"/>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109"/>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109"/>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109"/>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109"/>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109"/>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109"/>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109"/>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109"/>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109"/>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109"/>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109"/>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109"/>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109"/>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109"/>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109"/>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109"/>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109"/>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109"/>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109"/>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109"/>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109"/>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109"/>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109"/>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109"/>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109"/>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109"/>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109"/>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109"/>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109"/>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109"/>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109"/>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109"/>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109"/>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109"/>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109"/>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109"/>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109"/>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109"/>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109"/>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109"/>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109"/>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109"/>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109"/>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109"/>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109"/>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109"/>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109"/>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109"/>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109"/>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109"/>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109"/>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109"/>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109"/>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109"/>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109"/>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109"/>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109"/>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109"/>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109"/>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109"/>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109"/>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109"/>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109"/>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109"/>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109"/>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109"/>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109"/>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109"/>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109"/>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109"/>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109"/>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109"/>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109"/>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109"/>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109"/>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109"/>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109"/>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109"/>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109"/>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109"/>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109"/>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109"/>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109"/>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109"/>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109"/>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109"/>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109"/>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109"/>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109"/>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109"/>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109"/>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109"/>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109"/>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109"/>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109"/>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109"/>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109"/>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109"/>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109"/>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109"/>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109"/>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109"/>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109"/>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109"/>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109"/>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109"/>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109"/>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109"/>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109"/>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109"/>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109"/>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109"/>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109"/>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109"/>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109"/>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109"/>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109"/>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109"/>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109"/>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109"/>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109"/>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109"/>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109"/>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109"/>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109"/>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109"/>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109"/>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109"/>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109"/>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109"/>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109"/>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109"/>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109"/>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109"/>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109"/>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109"/>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109"/>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109"/>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109"/>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109"/>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109"/>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109"/>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109"/>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109"/>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109"/>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109"/>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109"/>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109"/>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109"/>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109"/>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109"/>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109"/>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109"/>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109"/>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109"/>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109"/>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109"/>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109"/>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109"/>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109"/>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109"/>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109"/>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109"/>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109"/>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109"/>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109"/>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109"/>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109"/>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109"/>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109"/>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109"/>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109"/>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109"/>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109"/>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109"/>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109"/>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109"/>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row r="1000">
      <c r="A1000" s="109"/>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row>
    <row r="1001">
      <c r="A1001" s="109"/>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row>
    <row r="1002">
      <c r="A1002" s="109"/>
      <c r="B1002" s="65"/>
      <c r="C1002" s="65"/>
      <c r="D1002" s="65"/>
      <c r="E1002" s="65"/>
      <c r="F1002" s="65"/>
      <c r="G1002" s="65"/>
      <c r="H1002" s="65"/>
      <c r="I1002" s="65"/>
      <c r="J1002" s="65"/>
      <c r="K1002" s="65"/>
      <c r="L1002" s="65"/>
      <c r="M1002" s="65"/>
      <c r="N1002" s="65"/>
      <c r="O1002" s="65"/>
      <c r="P1002" s="65"/>
      <c r="Q1002" s="65"/>
      <c r="R1002" s="65"/>
      <c r="S1002" s="65"/>
      <c r="T1002" s="65"/>
      <c r="U1002" s="65"/>
      <c r="V1002" s="65"/>
      <c r="W1002" s="65"/>
      <c r="X1002" s="65"/>
      <c r="Y1002" s="65"/>
      <c r="Z1002" s="65"/>
    </row>
    <row r="1003">
      <c r="A1003" s="109"/>
      <c r="B1003" s="65"/>
      <c r="C1003" s="65"/>
      <c r="D1003" s="65"/>
      <c r="E1003" s="65"/>
      <c r="F1003" s="65"/>
      <c r="G1003" s="65"/>
      <c r="H1003" s="65"/>
      <c r="I1003" s="65"/>
      <c r="J1003" s="65"/>
      <c r="K1003" s="65"/>
      <c r="L1003" s="65"/>
      <c r="M1003" s="65"/>
      <c r="N1003" s="65"/>
      <c r="O1003" s="65"/>
      <c r="P1003" s="65"/>
      <c r="Q1003" s="65"/>
      <c r="R1003" s="65"/>
      <c r="S1003" s="65"/>
      <c r="T1003" s="65"/>
      <c r="U1003" s="65"/>
      <c r="V1003" s="65"/>
      <c r="W1003" s="65"/>
      <c r="X1003" s="65"/>
      <c r="Y1003" s="65"/>
      <c r="Z1003" s="65"/>
    </row>
    <row r="1004">
      <c r="A1004" s="109"/>
      <c r="B1004" s="65"/>
      <c r="C1004" s="65"/>
      <c r="D1004" s="65"/>
      <c r="E1004" s="65"/>
      <c r="F1004" s="65"/>
      <c r="G1004" s="65"/>
      <c r="H1004" s="65"/>
      <c r="I1004" s="65"/>
      <c r="J1004" s="65"/>
      <c r="K1004" s="65"/>
      <c r="L1004" s="65"/>
      <c r="M1004" s="65"/>
      <c r="N1004" s="65"/>
      <c r="O1004" s="65"/>
      <c r="P1004" s="65"/>
      <c r="Q1004" s="65"/>
      <c r="R1004" s="65"/>
      <c r="S1004" s="65"/>
      <c r="T1004" s="65"/>
      <c r="U1004" s="65"/>
      <c r="V1004" s="65"/>
      <c r="W1004" s="65"/>
      <c r="X1004" s="65"/>
      <c r="Y1004" s="65"/>
      <c r="Z1004" s="65"/>
    </row>
    <row r="1005">
      <c r="A1005" s="109"/>
      <c r="B1005" s="65"/>
      <c r="C1005" s="65"/>
      <c r="D1005" s="65"/>
      <c r="E1005" s="65"/>
      <c r="F1005" s="65"/>
      <c r="G1005" s="65"/>
      <c r="H1005" s="65"/>
      <c r="I1005" s="65"/>
      <c r="J1005" s="65"/>
      <c r="K1005" s="65"/>
      <c r="L1005" s="65"/>
      <c r="M1005" s="65"/>
      <c r="N1005" s="65"/>
      <c r="O1005" s="65"/>
      <c r="P1005" s="65"/>
      <c r="Q1005" s="65"/>
      <c r="R1005" s="65"/>
      <c r="S1005" s="65"/>
      <c r="T1005" s="65"/>
      <c r="U1005" s="65"/>
      <c r="V1005" s="65"/>
      <c r="W1005" s="65"/>
      <c r="X1005" s="65"/>
      <c r="Y1005" s="65"/>
      <c r="Z1005" s="65"/>
    </row>
    <row r="1006">
      <c r="A1006" s="109"/>
      <c r="B1006" s="65"/>
      <c r="C1006" s="65"/>
      <c r="D1006" s="65"/>
      <c r="E1006" s="65"/>
      <c r="F1006" s="65"/>
      <c r="G1006" s="65"/>
      <c r="H1006" s="65"/>
      <c r="I1006" s="65"/>
      <c r="J1006" s="65"/>
      <c r="K1006" s="65"/>
      <c r="L1006" s="65"/>
      <c r="M1006" s="65"/>
      <c r="N1006" s="65"/>
      <c r="O1006" s="65"/>
      <c r="P1006" s="65"/>
      <c r="Q1006" s="65"/>
      <c r="R1006" s="65"/>
      <c r="S1006" s="65"/>
      <c r="T1006" s="65"/>
      <c r="U1006" s="65"/>
      <c r="V1006" s="65"/>
      <c r="W1006" s="65"/>
      <c r="X1006" s="65"/>
      <c r="Y1006" s="65"/>
      <c r="Z1006" s="65"/>
    </row>
    <row r="1007">
      <c r="A1007" s="109"/>
      <c r="B1007" s="65"/>
      <c r="C1007" s="65"/>
      <c r="D1007" s="65"/>
      <c r="E1007" s="65"/>
      <c r="F1007" s="65"/>
      <c r="G1007" s="65"/>
      <c r="H1007" s="65"/>
      <c r="I1007" s="65"/>
      <c r="J1007" s="65"/>
      <c r="K1007" s="65"/>
      <c r="L1007" s="65"/>
      <c r="M1007" s="65"/>
      <c r="N1007" s="65"/>
      <c r="O1007" s="65"/>
      <c r="P1007" s="65"/>
      <c r="Q1007" s="65"/>
      <c r="R1007" s="65"/>
      <c r="S1007" s="65"/>
      <c r="T1007" s="65"/>
      <c r="U1007" s="65"/>
      <c r="V1007" s="65"/>
      <c r="W1007" s="65"/>
      <c r="X1007" s="65"/>
      <c r="Y1007" s="65"/>
      <c r="Z1007" s="65"/>
    </row>
    <row r="1008">
      <c r="A1008" s="109"/>
      <c r="B1008" s="65"/>
      <c r="C1008" s="65"/>
      <c r="D1008" s="65"/>
      <c r="E1008" s="65"/>
      <c r="F1008" s="65"/>
      <c r="G1008" s="65"/>
      <c r="H1008" s="65"/>
      <c r="I1008" s="65"/>
      <c r="J1008" s="65"/>
      <c r="K1008" s="65"/>
      <c r="L1008" s="65"/>
      <c r="M1008" s="65"/>
      <c r="N1008" s="65"/>
      <c r="O1008" s="65"/>
      <c r="P1008" s="65"/>
      <c r="Q1008" s="65"/>
      <c r="R1008" s="65"/>
      <c r="S1008" s="65"/>
      <c r="T1008" s="65"/>
      <c r="U1008" s="65"/>
      <c r="V1008" s="65"/>
      <c r="W1008" s="65"/>
      <c r="X1008" s="65"/>
      <c r="Y1008" s="65"/>
      <c r="Z1008" s="65"/>
    </row>
    <row r="1009">
      <c r="A1009" s="109"/>
      <c r="B1009" s="65"/>
      <c r="C1009" s="65"/>
      <c r="D1009" s="65"/>
      <c r="E1009" s="65"/>
      <c r="F1009" s="65"/>
      <c r="G1009" s="65"/>
      <c r="H1009" s="65"/>
      <c r="I1009" s="65"/>
      <c r="J1009" s="65"/>
      <c r="K1009" s="65"/>
      <c r="L1009" s="65"/>
      <c r="M1009" s="65"/>
      <c r="N1009" s="65"/>
      <c r="O1009" s="65"/>
      <c r="P1009" s="65"/>
      <c r="Q1009" s="65"/>
      <c r="R1009" s="65"/>
      <c r="S1009" s="65"/>
      <c r="T1009" s="65"/>
      <c r="U1009" s="65"/>
      <c r="V1009" s="65"/>
      <c r="W1009" s="65"/>
      <c r="X1009" s="65"/>
      <c r="Y1009" s="65"/>
      <c r="Z1009" s="65"/>
    </row>
    <row r="1010">
      <c r="A1010" s="109"/>
      <c r="B1010" s="65"/>
      <c r="C1010" s="65"/>
      <c r="D1010" s="65"/>
      <c r="E1010" s="65"/>
      <c r="F1010" s="65"/>
      <c r="G1010" s="65"/>
      <c r="H1010" s="65"/>
      <c r="I1010" s="65"/>
      <c r="J1010" s="65"/>
      <c r="K1010" s="65"/>
      <c r="L1010" s="65"/>
      <c r="M1010" s="65"/>
      <c r="N1010" s="65"/>
      <c r="O1010" s="65"/>
      <c r="P1010" s="65"/>
      <c r="Q1010" s="65"/>
      <c r="R1010" s="65"/>
      <c r="S1010" s="65"/>
      <c r="T1010" s="65"/>
      <c r="U1010" s="65"/>
      <c r="V1010" s="65"/>
      <c r="W1010" s="65"/>
      <c r="X1010" s="65"/>
      <c r="Y1010" s="65"/>
      <c r="Z1010" s="65"/>
    </row>
    <row r="1011">
      <c r="A1011" s="109"/>
      <c r="B1011" s="65"/>
      <c r="C1011" s="65"/>
      <c r="D1011" s="65"/>
      <c r="E1011" s="65"/>
      <c r="F1011" s="65"/>
      <c r="G1011" s="65"/>
      <c r="H1011" s="65"/>
      <c r="I1011" s="65"/>
      <c r="J1011" s="65"/>
      <c r="K1011" s="65"/>
      <c r="L1011" s="65"/>
      <c r="M1011" s="65"/>
      <c r="N1011" s="65"/>
      <c r="O1011" s="65"/>
      <c r="P1011" s="65"/>
      <c r="Q1011" s="65"/>
      <c r="R1011" s="65"/>
      <c r="S1011" s="65"/>
      <c r="T1011" s="65"/>
      <c r="U1011" s="65"/>
      <c r="V1011" s="65"/>
      <c r="W1011" s="65"/>
      <c r="X1011" s="65"/>
      <c r="Y1011" s="65"/>
      <c r="Z1011" s="65"/>
    </row>
    <row r="1012">
      <c r="A1012" s="109"/>
      <c r="B1012" s="65"/>
      <c r="C1012" s="65"/>
      <c r="D1012" s="65"/>
      <c r="E1012" s="65"/>
      <c r="F1012" s="65"/>
      <c r="G1012" s="65"/>
      <c r="H1012" s="65"/>
      <c r="I1012" s="65"/>
      <c r="J1012" s="65"/>
      <c r="K1012" s="65"/>
      <c r="L1012" s="65"/>
      <c r="M1012" s="65"/>
      <c r="N1012" s="65"/>
      <c r="O1012" s="65"/>
      <c r="P1012" s="65"/>
      <c r="Q1012" s="65"/>
      <c r="R1012" s="65"/>
      <c r="S1012" s="65"/>
      <c r="T1012" s="65"/>
      <c r="U1012" s="65"/>
      <c r="V1012" s="65"/>
      <c r="W1012" s="65"/>
      <c r="X1012" s="65"/>
      <c r="Y1012" s="65"/>
      <c r="Z1012" s="65"/>
    </row>
    <row r="1013">
      <c r="A1013" s="109"/>
      <c r="B1013" s="65"/>
      <c r="C1013" s="65"/>
      <c r="D1013" s="65"/>
      <c r="E1013" s="65"/>
      <c r="F1013" s="65"/>
      <c r="G1013" s="65"/>
      <c r="H1013" s="65"/>
      <c r="I1013" s="65"/>
      <c r="J1013" s="65"/>
      <c r="K1013" s="65"/>
      <c r="L1013" s="65"/>
      <c r="M1013" s="65"/>
      <c r="N1013" s="65"/>
      <c r="O1013" s="65"/>
      <c r="P1013" s="65"/>
      <c r="Q1013" s="65"/>
      <c r="R1013" s="65"/>
      <c r="S1013" s="65"/>
      <c r="T1013" s="65"/>
      <c r="U1013" s="65"/>
      <c r="V1013" s="65"/>
      <c r="W1013" s="65"/>
      <c r="X1013" s="65"/>
      <c r="Y1013" s="65"/>
      <c r="Z1013" s="65"/>
    </row>
    <row r="1014">
      <c r="A1014" s="109"/>
      <c r="B1014" s="65"/>
      <c r="C1014" s="65"/>
      <c r="D1014" s="65"/>
      <c r="E1014" s="65"/>
      <c r="F1014" s="65"/>
      <c r="G1014" s="65"/>
      <c r="H1014" s="65"/>
      <c r="I1014" s="65"/>
      <c r="J1014" s="65"/>
      <c r="K1014" s="65"/>
      <c r="L1014" s="65"/>
      <c r="M1014" s="65"/>
      <c r="N1014" s="65"/>
      <c r="O1014" s="65"/>
      <c r="P1014" s="65"/>
      <c r="Q1014" s="65"/>
      <c r="R1014" s="65"/>
      <c r="S1014" s="65"/>
      <c r="T1014" s="65"/>
      <c r="U1014" s="65"/>
      <c r="V1014" s="65"/>
      <c r="W1014" s="65"/>
      <c r="X1014" s="65"/>
      <c r="Y1014" s="65"/>
      <c r="Z1014" s="65"/>
    </row>
    <row r="1015">
      <c r="A1015" s="109"/>
      <c r="B1015" s="65"/>
      <c r="C1015" s="65"/>
      <c r="D1015" s="65"/>
      <c r="E1015" s="65"/>
      <c r="F1015" s="65"/>
      <c r="G1015" s="65"/>
      <c r="H1015" s="65"/>
      <c r="I1015" s="65"/>
      <c r="J1015" s="65"/>
      <c r="K1015" s="65"/>
      <c r="L1015" s="65"/>
      <c r="M1015" s="65"/>
      <c r="N1015" s="65"/>
      <c r="O1015" s="65"/>
      <c r="P1015" s="65"/>
      <c r="Q1015" s="65"/>
      <c r="R1015" s="65"/>
      <c r="S1015" s="65"/>
      <c r="T1015" s="65"/>
      <c r="U1015" s="65"/>
      <c r="V1015" s="65"/>
      <c r="W1015" s="65"/>
      <c r="X1015" s="65"/>
      <c r="Y1015" s="65"/>
      <c r="Z1015" s="65"/>
    </row>
    <row r="1016">
      <c r="A1016" s="109"/>
      <c r="B1016" s="65"/>
      <c r="C1016" s="65"/>
      <c r="D1016" s="65"/>
      <c r="E1016" s="65"/>
      <c r="F1016" s="65"/>
      <c r="G1016" s="65"/>
      <c r="H1016" s="65"/>
      <c r="I1016" s="65"/>
      <c r="J1016" s="65"/>
      <c r="K1016" s="65"/>
      <c r="L1016" s="65"/>
      <c r="M1016" s="65"/>
      <c r="N1016" s="65"/>
      <c r="O1016" s="65"/>
      <c r="P1016" s="65"/>
      <c r="Q1016" s="65"/>
      <c r="R1016" s="65"/>
      <c r="S1016" s="65"/>
      <c r="T1016" s="65"/>
      <c r="U1016" s="65"/>
      <c r="V1016" s="65"/>
      <c r="W1016" s="65"/>
      <c r="X1016" s="65"/>
      <c r="Y1016" s="65"/>
      <c r="Z1016" s="65"/>
    </row>
    <row r="1017">
      <c r="A1017" s="109"/>
      <c r="B1017" s="65"/>
      <c r="C1017" s="65"/>
      <c r="D1017" s="65"/>
      <c r="E1017" s="65"/>
      <c r="F1017" s="65"/>
      <c r="G1017" s="65"/>
      <c r="H1017" s="65"/>
      <c r="I1017" s="65"/>
      <c r="J1017" s="65"/>
      <c r="K1017" s="65"/>
      <c r="L1017" s="65"/>
      <c r="M1017" s="65"/>
      <c r="N1017" s="65"/>
      <c r="O1017" s="65"/>
      <c r="P1017" s="65"/>
      <c r="Q1017" s="65"/>
      <c r="R1017" s="65"/>
      <c r="S1017" s="65"/>
      <c r="T1017" s="65"/>
      <c r="U1017" s="65"/>
      <c r="V1017" s="65"/>
      <c r="W1017" s="65"/>
      <c r="X1017" s="65"/>
      <c r="Y1017" s="65"/>
      <c r="Z1017" s="65"/>
    </row>
    <row r="1018">
      <c r="A1018" s="109"/>
      <c r="B1018" s="65"/>
      <c r="C1018" s="65"/>
      <c r="D1018" s="65"/>
      <c r="E1018" s="65"/>
      <c r="F1018" s="65"/>
      <c r="G1018" s="65"/>
      <c r="H1018" s="65"/>
      <c r="I1018" s="65"/>
      <c r="J1018" s="65"/>
      <c r="K1018" s="65"/>
      <c r="L1018" s="65"/>
      <c r="M1018" s="65"/>
      <c r="N1018" s="65"/>
      <c r="O1018" s="65"/>
      <c r="P1018" s="65"/>
      <c r="Q1018" s="65"/>
      <c r="R1018" s="65"/>
      <c r="S1018" s="65"/>
      <c r="T1018" s="65"/>
      <c r="U1018" s="65"/>
      <c r="V1018" s="65"/>
      <c r="W1018" s="65"/>
      <c r="X1018" s="65"/>
      <c r="Y1018" s="65"/>
      <c r="Z1018" s="65"/>
    </row>
    <row r="1019">
      <c r="A1019" s="109"/>
      <c r="B1019" s="65"/>
      <c r="C1019" s="65"/>
      <c r="D1019" s="65"/>
      <c r="E1019" s="65"/>
      <c r="F1019" s="65"/>
      <c r="G1019" s="65"/>
      <c r="H1019" s="65"/>
      <c r="I1019" s="65"/>
      <c r="J1019" s="65"/>
      <c r="K1019" s="65"/>
      <c r="L1019" s="65"/>
      <c r="M1019" s="65"/>
      <c r="N1019" s="65"/>
      <c r="O1019" s="65"/>
      <c r="P1019" s="65"/>
      <c r="Q1019" s="65"/>
      <c r="R1019" s="65"/>
      <c r="S1019" s="65"/>
      <c r="T1019" s="65"/>
      <c r="U1019" s="65"/>
      <c r="V1019" s="65"/>
      <c r="W1019" s="65"/>
      <c r="X1019" s="65"/>
      <c r="Y1019" s="65"/>
      <c r="Z1019" s="65"/>
    </row>
    <row r="1020">
      <c r="A1020" s="109"/>
      <c r="B1020" s="65"/>
      <c r="C1020" s="65"/>
      <c r="D1020" s="65"/>
      <c r="E1020" s="65"/>
      <c r="F1020" s="65"/>
      <c r="G1020" s="65"/>
      <c r="H1020" s="65"/>
      <c r="I1020" s="65"/>
      <c r="J1020" s="65"/>
      <c r="K1020" s="65"/>
      <c r="L1020" s="65"/>
      <c r="M1020" s="65"/>
      <c r="N1020" s="65"/>
      <c r="O1020" s="65"/>
      <c r="P1020" s="65"/>
      <c r="Q1020" s="65"/>
      <c r="R1020" s="65"/>
      <c r="S1020" s="65"/>
      <c r="T1020" s="65"/>
      <c r="U1020" s="65"/>
      <c r="V1020" s="65"/>
      <c r="W1020" s="65"/>
      <c r="X1020" s="65"/>
      <c r="Y1020" s="65"/>
      <c r="Z1020" s="65"/>
    </row>
    <row r="1021">
      <c r="A1021" s="109"/>
      <c r="B1021" s="65"/>
      <c r="C1021" s="65"/>
      <c r="D1021" s="65"/>
      <c r="E1021" s="65"/>
      <c r="F1021" s="65"/>
      <c r="G1021" s="65"/>
      <c r="H1021" s="65"/>
      <c r="I1021" s="65"/>
      <c r="J1021" s="65"/>
      <c r="K1021" s="65"/>
      <c r="L1021" s="65"/>
      <c r="M1021" s="65"/>
      <c r="N1021" s="65"/>
      <c r="O1021" s="65"/>
      <c r="P1021" s="65"/>
      <c r="Q1021" s="65"/>
      <c r="R1021" s="65"/>
      <c r="S1021" s="65"/>
      <c r="T1021" s="65"/>
      <c r="U1021" s="65"/>
      <c r="V1021" s="65"/>
      <c r="W1021" s="65"/>
      <c r="X1021" s="65"/>
      <c r="Y1021" s="65"/>
      <c r="Z1021" s="65"/>
    </row>
    <row r="1022">
      <c r="A1022" s="109"/>
      <c r="B1022" s="65"/>
      <c r="C1022" s="65"/>
      <c r="D1022" s="65"/>
      <c r="E1022" s="65"/>
      <c r="F1022" s="65"/>
      <c r="G1022" s="65"/>
      <c r="H1022" s="65"/>
      <c r="I1022" s="65"/>
      <c r="J1022" s="65"/>
      <c r="K1022" s="65"/>
      <c r="L1022" s="65"/>
      <c r="M1022" s="65"/>
      <c r="N1022" s="65"/>
      <c r="O1022" s="65"/>
      <c r="P1022" s="65"/>
      <c r="Q1022" s="65"/>
      <c r="R1022" s="65"/>
      <c r="S1022" s="65"/>
      <c r="T1022" s="65"/>
      <c r="U1022" s="65"/>
      <c r="V1022" s="65"/>
      <c r="W1022" s="65"/>
      <c r="X1022" s="65"/>
      <c r="Y1022" s="65"/>
      <c r="Z1022" s="65"/>
    </row>
    <row r="1023">
      <c r="A1023" s="109"/>
      <c r="B1023" s="65"/>
      <c r="C1023" s="65"/>
      <c r="D1023" s="65"/>
      <c r="E1023" s="65"/>
      <c r="F1023" s="65"/>
      <c r="G1023" s="65"/>
      <c r="H1023" s="65"/>
      <c r="I1023" s="65"/>
      <c r="J1023" s="65"/>
      <c r="K1023" s="65"/>
      <c r="L1023" s="65"/>
      <c r="M1023" s="65"/>
      <c r="N1023" s="65"/>
      <c r="O1023" s="65"/>
      <c r="P1023" s="65"/>
      <c r="Q1023" s="65"/>
      <c r="R1023" s="65"/>
      <c r="S1023" s="65"/>
      <c r="T1023" s="65"/>
      <c r="U1023" s="65"/>
      <c r="V1023" s="65"/>
      <c r="W1023" s="65"/>
      <c r="X1023" s="65"/>
      <c r="Y1023" s="65"/>
      <c r="Z1023" s="65"/>
    </row>
    <row r="1024">
      <c r="A1024" s="109"/>
      <c r="B1024" s="65"/>
      <c r="C1024" s="65"/>
      <c r="D1024" s="65"/>
      <c r="E1024" s="65"/>
      <c r="F1024" s="65"/>
      <c r="G1024" s="65"/>
      <c r="H1024" s="65"/>
      <c r="I1024" s="65"/>
      <c r="J1024" s="65"/>
      <c r="K1024" s="65"/>
      <c r="L1024" s="65"/>
      <c r="M1024" s="65"/>
      <c r="N1024" s="65"/>
      <c r="O1024" s="65"/>
      <c r="P1024" s="65"/>
      <c r="Q1024" s="65"/>
      <c r="R1024" s="65"/>
      <c r="S1024" s="65"/>
      <c r="T1024" s="65"/>
      <c r="U1024" s="65"/>
      <c r="V1024" s="65"/>
      <c r="W1024" s="65"/>
      <c r="X1024" s="65"/>
      <c r="Y1024" s="65"/>
      <c r="Z1024" s="65"/>
    </row>
    <row r="1025">
      <c r="A1025" s="109"/>
      <c r="B1025" s="65"/>
      <c r="C1025" s="65"/>
      <c r="D1025" s="65"/>
      <c r="E1025" s="65"/>
      <c r="F1025" s="65"/>
      <c r="G1025" s="65"/>
      <c r="H1025" s="65"/>
      <c r="I1025" s="65"/>
      <c r="J1025" s="65"/>
      <c r="K1025" s="65"/>
      <c r="L1025" s="65"/>
      <c r="M1025" s="65"/>
      <c r="N1025" s="65"/>
      <c r="O1025" s="65"/>
      <c r="P1025" s="65"/>
      <c r="Q1025" s="65"/>
      <c r="R1025" s="65"/>
      <c r="S1025" s="65"/>
      <c r="T1025" s="65"/>
      <c r="U1025" s="65"/>
      <c r="V1025" s="65"/>
      <c r="W1025" s="65"/>
      <c r="X1025" s="65"/>
      <c r="Y1025" s="65"/>
      <c r="Z1025" s="65"/>
    </row>
    <row r="1026">
      <c r="A1026" s="109"/>
      <c r="B1026" s="65"/>
      <c r="C1026" s="65"/>
      <c r="D1026" s="65"/>
      <c r="E1026" s="65"/>
      <c r="F1026" s="65"/>
      <c r="G1026" s="65"/>
      <c r="H1026" s="65"/>
      <c r="I1026" s="65"/>
      <c r="J1026" s="65"/>
      <c r="K1026" s="65"/>
      <c r="L1026" s="65"/>
      <c r="M1026" s="65"/>
      <c r="N1026" s="65"/>
      <c r="O1026" s="65"/>
      <c r="P1026" s="65"/>
      <c r="Q1026" s="65"/>
      <c r="R1026" s="65"/>
      <c r="S1026" s="65"/>
      <c r="T1026" s="65"/>
      <c r="U1026" s="65"/>
      <c r="V1026" s="65"/>
      <c r="W1026" s="65"/>
      <c r="X1026" s="65"/>
      <c r="Y1026" s="65"/>
      <c r="Z1026" s="65"/>
    </row>
    <row r="1027">
      <c r="A1027" s="109"/>
      <c r="B1027" s="65"/>
      <c r="C1027" s="65"/>
      <c r="D1027" s="65"/>
      <c r="E1027" s="65"/>
      <c r="F1027" s="65"/>
      <c r="G1027" s="65"/>
      <c r="H1027" s="65"/>
      <c r="I1027" s="65"/>
      <c r="J1027" s="65"/>
      <c r="K1027" s="65"/>
      <c r="L1027" s="65"/>
      <c r="M1027" s="65"/>
      <c r="N1027" s="65"/>
      <c r="O1027" s="65"/>
      <c r="P1027" s="65"/>
      <c r="Q1027" s="65"/>
      <c r="R1027" s="65"/>
      <c r="S1027" s="65"/>
      <c r="T1027" s="65"/>
      <c r="U1027" s="65"/>
      <c r="V1027" s="65"/>
      <c r="W1027" s="65"/>
      <c r="X1027" s="65"/>
      <c r="Y1027" s="65"/>
      <c r="Z1027" s="65"/>
    </row>
    <row r="1028">
      <c r="A1028" s="109"/>
      <c r="B1028" s="65"/>
      <c r="C1028" s="65"/>
      <c r="D1028" s="65"/>
      <c r="E1028" s="65"/>
      <c r="F1028" s="65"/>
      <c r="G1028" s="65"/>
      <c r="H1028" s="65"/>
      <c r="I1028" s="65"/>
      <c r="J1028" s="65"/>
      <c r="K1028" s="65"/>
      <c r="L1028" s="65"/>
      <c r="M1028" s="65"/>
      <c r="N1028" s="65"/>
      <c r="O1028" s="65"/>
      <c r="P1028" s="65"/>
      <c r="Q1028" s="65"/>
      <c r="R1028" s="65"/>
      <c r="S1028" s="65"/>
      <c r="T1028" s="65"/>
      <c r="U1028" s="65"/>
      <c r="V1028" s="65"/>
      <c r="W1028" s="65"/>
      <c r="X1028" s="65"/>
      <c r="Y1028" s="65"/>
      <c r="Z1028" s="65"/>
    </row>
    <row r="1029">
      <c r="A1029" s="109"/>
      <c r="B1029" s="65"/>
      <c r="C1029" s="65"/>
      <c r="D1029" s="65"/>
      <c r="E1029" s="65"/>
      <c r="F1029" s="65"/>
      <c r="G1029" s="65"/>
      <c r="H1029" s="65"/>
      <c r="I1029" s="65"/>
      <c r="J1029" s="65"/>
      <c r="K1029" s="65"/>
      <c r="L1029" s="65"/>
      <c r="M1029" s="65"/>
      <c r="N1029" s="65"/>
      <c r="O1029" s="65"/>
      <c r="P1029" s="65"/>
      <c r="Q1029" s="65"/>
      <c r="R1029" s="65"/>
      <c r="S1029" s="65"/>
      <c r="T1029" s="65"/>
      <c r="U1029" s="65"/>
      <c r="V1029" s="65"/>
      <c r="W1029" s="65"/>
      <c r="X1029" s="65"/>
      <c r="Y1029" s="65"/>
      <c r="Z1029" s="65"/>
    </row>
    <row r="1030">
      <c r="A1030" s="109"/>
      <c r="B1030" s="65"/>
      <c r="C1030" s="65"/>
      <c r="D1030" s="65"/>
      <c r="E1030" s="65"/>
      <c r="F1030" s="65"/>
      <c r="G1030" s="65"/>
      <c r="H1030" s="65"/>
      <c r="I1030" s="65"/>
      <c r="J1030" s="65"/>
      <c r="K1030" s="65"/>
      <c r="L1030" s="65"/>
      <c r="M1030" s="65"/>
      <c r="N1030" s="65"/>
      <c r="O1030" s="65"/>
      <c r="P1030" s="65"/>
      <c r="Q1030" s="65"/>
      <c r="R1030" s="65"/>
      <c r="S1030" s="65"/>
      <c r="T1030" s="65"/>
      <c r="U1030" s="65"/>
      <c r="V1030" s="65"/>
      <c r="W1030" s="65"/>
      <c r="X1030" s="65"/>
      <c r="Y1030" s="65"/>
      <c r="Z1030" s="65"/>
    </row>
    <row r="1031">
      <c r="A1031" s="109"/>
      <c r="B1031" s="65"/>
      <c r="C1031" s="65"/>
      <c r="D1031" s="65"/>
      <c r="E1031" s="65"/>
      <c r="F1031" s="65"/>
      <c r="G1031" s="65"/>
      <c r="H1031" s="65"/>
      <c r="I1031" s="65"/>
      <c r="J1031" s="65"/>
      <c r="K1031" s="65"/>
      <c r="L1031" s="65"/>
      <c r="M1031" s="65"/>
      <c r="N1031" s="65"/>
      <c r="O1031" s="65"/>
      <c r="P1031" s="65"/>
      <c r="Q1031" s="65"/>
      <c r="R1031" s="65"/>
      <c r="S1031" s="65"/>
      <c r="T1031" s="65"/>
      <c r="U1031" s="65"/>
      <c r="V1031" s="65"/>
      <c r="W1031" s="65"/>
      <c r="X1031" s="65"/>
      <c r="Y1031" s="65"/>
      <c r="Z1031" s="65"/>
    </row>
    <row r="1032">
      <c r="A1032" s="109"/>
      <c r="B1032" s="65"/>
      <c r="C1032" s="65"/>
      <c r="D1032" s="65"/>
      <c r="E1032" s="65"/>
      <c r="F1032" s="65"/>
      <c r="G1032" s="65"/>
      <c r="H1032" s="65"/>
      <c r="I1032" s="65"/>
      <c r="J1032" s="65"/>
      <c r="K1032" s="65"/>
      <c r="L1032" s="65"/>
      <c r="M1032" s="65"/>
      <c r="N1032" s="65"/>
      <c r="O1032" s="65"/>
      <c r="P1032" s="65"/>
      <c r="Q1032" s="65"/>
      <c r="R1032" s="65"/>
      <c r="S1032" s="65"/>
      <c r="T1032" s="65"/>
      <c r="U1032" s="65"/>
      <c r="V1032" s="65"/>
      <c r="W1032" s="65"/>
      <c r="X1032" s="65"/>
      <c r="Y1032" s="65"/>
      <c r="Z1032" s="65"/>
    </row>
    <row r="1033">
      <c r="A1033" s="109"/>
      <c r="B1033" s="65"/>
      <c r="C1033" s="65"/>
      <c r="D1033" s="65"/>
      <c r="E1033" s="65"/>
      <c r="F1033" s="65"/>
      <c r="G1033" s="65"/>
      <c r="H1033" s="65"/>
      <c r="I1033" s="65"/>
      <c r="J1033" s="65"/>
      <c r="K1033" s="65"/>
      <c r="L1033" s="65"/>
      <c r="M1033" s="65"/>
      <c r="N1033" s="65"/>
      <c r="O1033" s="65"/>
      <c r="P1033" s="65"/>
      <c r="Q1033" s="65"/>
      <c r="R1033" s="65"/>
      <c r="S1033" s="65"/>
      <c r="T1033" s="65"/>
      <c r="U1033" s="65"/>
      <c r="V1033" s="65"/>
      <c r="W1033" s="65"/>
      <c r="X1033" s="65"/>
      <c r="Y1033" s="65"/>
      <c r="Z1033" s="65"/>
    </row>
    <row r="1034">
      <c r="A1034" s="109"/>
      <c r="B1034" s="65"/>
      <c r="C1034" s="65"/>
      <c r="D1034" s="65"/>
      <c r="E1034" s="65"/>
      <c r="F1034" s="65"/>
      <c r="G1034" s="65"/>
      <c r="H1034" s="65"/>
      <c r="I1034" s="65"/>
      <c r="J1034" s="65"/>
      <c r="K1034" s="65"/>
      <c r="L1034" s="65"/>
      <c r="M1034" s="65"/>
      <c r="N1034" s="65"/>
      <c r="O1034" s="65"/>
      <c r="P1034" s="65"/>
      <c r="Q1034" s="65"/>
      <c r="R1034" s="65"/>
      <c r="S1034" s="65"/>
      <c r="T1034" s="65"/>
      <c r="U1034" s="65"/>
      <c r="V1034" s="65"/>
      <c r="W1034" s="65"/>
      <c r="X1034" s="65"/>
      <c r="Y1034" s="65"/>
      <c r="Z1034" s="65"/>
    </row>
    <row r="1035">
      <c r="A1035" s="109"/>
      <c r="B1035" s="65"/>
      <c r="C1035" s="65"/>
      <c r="D1035" s="65"/>
      <c r="E1035" s="65"/>
      <c r="F1035" s="65"/>
      <c r="G1035" s="65"/>
      <c r="H1035" s="65"/>
      <c r="I1035" s="65"/>
      <c r="J1035" s="65"/>
      <c r="K1035" s="65"/>
      <c r="L1035" s="65"/>
      <c r="M1035" s="65"/>
      <c r="N1035" s="65"/>
      <c r="O1035" s="65"/>
      <c r="P1035" s="65"/>
      <c r="Q1035" s="65"/>
      <c r="R1035" s="65"/>
      <c r="S1035" s="65"/>
      <c r="T1035" s="65"/>
      <c r="U1035" s="65"/>
      <c r="V1035" s="65"/>
      <c r="W1035" s="65"/>
      <c r="X1035" s="65"/>
      <c r="Y1035" s="65"/>
      <c r="Z1035" s="65"/>
    </row>
    <row r="1036">
      <c r="A1036" s="109"/>
      <c r="B1036" s="65"/>
      <c r="C1036" s="65"/>
      <c r="D1036" s="65"/>
      <c r="E1036" s="65"/>
      <c r="F1036" s="65"/>
      <c r="G1036" s="65"/>
      <c r="H1036" s="65"/>
      <c r="I1036" s="65"/>
      <c r="J1036" s="65"/>
      <c r="K1036" s="65"/>
      <c r="L1036" s="65"/>
      <c r="M1036" s="65"/>
      <c r="N1036" s="65"/>
      <c r="O1036" s="65"/>
      <c r="P1036" s="65"/>
      <c r="Q1036" s="65"/>
      <c r="R1036" s="65"/>
      <c r="S1036" s="65"/>
      <c r="T1036" s="65"/>
      <c r="U1036" s="65"/>
      <c r="V1036" s="65"/>
      <c r="W1036" s="65"/>
      <c r="X1036" s="65"/>
      <c r="Y1036" s="65"/>
      <c r="Z1036" s="65"/>
    </row>
    <row r="1037">
      <c r="A1037" s="109"/>
      <c r="B1037" s="65"/>
      <c r="C1037" s="65"/>
      <c r="D1037" s="65"/>
      <c r="E1037" s="65"/>
      <c r="F1037" s="65"/>
      <c r="G1037" s="65"/>
      <c r="H1037" s="65"/>
      <c r="I1037" s="65"/>
      <c r="J1037" s="65"/>
      <c r="K1037" s="65"/>
      <c r="L1037" s="65"/>
      <c r="M1037" s="65"/>
      <c r="N1037" s="65"/>
      <c r="O1037" s="65"/>
      <c r="P1037" s="65"/>
      <c r="Q1037" s="65"/>
      <c r="R1037" s="65"/>
      <c r="S1037" s="65"/>
      <c r="T1037" s="65"/>
      <c r="U1037" s="65"/>
      <c r="V1037" s="65"/>
      <c r="W1037" s="65"/>
      <c r="X1037" s="65"/>
      <c r="Y1037" s="65"/>
      <c r="Z1037" s="65"/>
    </row>
    <row r="1038">
      <c r="A1038" s="109"/>
      <c r="B1038" s="65"/>
      <c r="C1038" s="65"/>
      <c r="D1038" s="65"/>
      <c r="E1038" s="65"/>
      <c r="F1038" s="65"/>
      <c r="G1038" s="65"/>
      <c r="H1038" s="65"/>
      <c r="I1038" s="65"/>
      <c r="J1038" s="65"/>
      <c r="K1038" s="65"/>
      <c r="L1038" s="65"/>
      <c r="M1038" s="65"/>
      <c r="N1038" s="65"/>
      <c r="O1038" s="65"/>
      <c r="P1038" s="65"/>
      <c r="Q1038" s="65"/>
      <c r="R1038" s="65"/>
      <c r="S1038" s="65"/>
      <c r="T1038" s="65"/>
      <c r="U1038" s="65"/>
      <c r="V1038" s="65"/>
      <c r="W1038" s="65"/>
      <c r="X1038" s="65"/>
      <c r="Y1038" s="65"/>
      <c r="Z1038" s="65"/>
    </row>
    <row r="1039">
      <c r="A1039" s="109"/>
      <c r="B1039" s="65"/>
      <c r="C1039" s="65"/>
      <c r="D1039" s="65"/>
      <c r="E1039" s="65"/>
      <c r="F1039" s="65"/>
      <c r="G1039" s="65"/>
      <c r="H1039" s="65"/>
      <c r="I1039" s="65"/>
      <c r="J1039" s="65"/>
      <c r="K1039" s="65"/>
      <c r="L1039" s="65"/>
      <c r="M1039" s="65"/>
      <c r="N1039" s="65"/>
      <c r="O1039" s="65"/>
      <c r="P1039" s="65"/>
      <c r="Q1039" s="65"/>
      <c r="R1039" s="65"/>
      <c r="S1039" s="65"/>
      <c r="T1039" s="65"/>
      <c r="U1039" s="65"/>
      <c r="V1039" s="65"/>
      <c r="W1039" s="65"/>
      <c r="X1039" s="65"/>
      <c r="Y1039" s="65"/>
      <c r="Z1039" s="65"/>
    </row>
    <row r="1040">
      <c r="A1040" s="109"/>
      <c r="B1040" s="65"/>
      <c r="C1040" s="65"/>
      <c r="D1040" s="65"/>
      <c r="E1040" s="65"/>
      <c r="F1040" s="65"/>
      <c r="G1040" s="65"/>
      <c r="H1040" s="65"/>
      <c r="I1040" s="65"/>
      <c r="J1040" s="65"/>
      <c r="K1040" s="65"/>
      <c r="L1040" s="65"/>
      <c r="M1040" s="65"/>
      <c r="N1040" s="65"/>
      <c r="O1040" s="65"/>
      <c r="P1040" s="65"/>
      <c r="Q1040" s="65"/>
      <c r="R1040" s="65"/>
      <c r="S1040" s="65"/>
      <c r="T1040" s="65"/>
      <c r="U1040" s="65"/>
      <c r="V1040" s="65"/>
      <c r="W1040" s="65"/>
      <c r="X1040" s="65"/>
      <c r="Y1040" s="65"/>
      <c r="Z1040" s="65"/>
    </row>
    <row r="1041">
      <c r="A1041" s="109"/>
      <c r="B1041" s="65"/>
      <c r="C1041" s="65"/>
      <c r="D1041" s="65"/>
      <c r="E1041" s="65"/>
      <c r="F1041" s="65"/>
      <c r="G1041" s="65"/>
      <c r="H1041" s="65"/>
      <c r="I1041" s="65"/>
      <c r="J1041" s="65"/>
      <c r="K1041" s="65"/>
      <c r="L1041" s="65"/>
      <c r="M1041" s="65"/>
      <c r="N1041" s="65"/>
      <c r="O1041" s="65"/>
      <c r="P1041" s="65"/>
      <c r="Q1041" s="65"/>
      <c r="R1041" s="65"/>
      <c r="S1041" s="65"/>
      <c r="T1041" s="65"/>
      <c r="U1041" s="65"/>
      <c r="V1041" s="65"/>
      <c r="W1041" s="65"/>
      <c r="X1041" s="65"/>
      <c r="Y1041" s="65"/>
      <c r="Z1041" s="65"/>
    </row>
    <row r="1042">
      <c r="A1042" s="109"/>
      <c r="B1042" s="65"/>
      <c r="C1042" s="65"/>
      <c r="D1042" s="65"/>
      <c r="E1042" s="65"/>
      <c r="F1042" s="65"/>
      <c r="G1042" s="65"/>
      <c r="H1042" s="65"/>
      <c r="I1042" s="65"/>
      <c r="J1042" s="65"/>
      <c r="K1042" s="65"/>
      <c r="L1042" s="65"/>
      <c r="M1042" s="65"/>
      <c r="N1042" s="65"/>
      <c r="O1042" s="65"/>
      <c r="P1042" s="65"/>
      <c r="Q1042" s="65"/>
      <c r="R1042" s="65"/>
      <c r="S1042" s="65"/>
      <c r="T1042" s="65"/>
      <c r="U1042" s="65"/>
      <c r="V1042" s="65"/>
      <c r="W1042" s="65"/>
      <c r="X1042" s="65"/>
      <c r="Y1042" s="65"/>
      <c r="Z1042" s="65"/>
    </row>
    <row r="1043">
      <c r="A1043" s="109"/>
      <c r="B1043" s="65"/>
      <c r="C1043" s="65"/>
      <c r="D1043" s="65"/>
      <c r="E1043" s="65"/>
      <c r="F1043" s="65"/>
      <c r="G1043" s="65"/>
      <c r="H1043" s="65"/>
      <c r="I1043" s="65"/>
      <c r="J1043" s="65"/>
      <c r="K1043" s="65"/>
      <c r="L1043" s="65"/>
      <c r="M1043" s="65"/>
      <c r="N1043" s="65"/>
      <c r="O1043" s="65"/>
      <c r="P1043" s="65"/>
      <c r="Q1043" s="65"/>
      <c r="R1043" s="65"/>
      <c r="S1043" s="65"/>
      <c r="T1043" s="65"/>
      <c r="U1043" s="65"/>
      <c r="V1043" s="65"/>
      <c r="W1043" s="65"/>
      <c r="X1043" s="65"/>
      <c r="Y1043" s="65"/>
      <c r="Z1043" s="65"/>
    </row>
    <row r="1044">
      <c r="A1044" s="109"/>
      <c r="B1044" s="65"/>
      <c r="C1044" s="65"/>
      <c r="D1044" s="65"/>
      <c r="E1044" s="65"/>
      <c r="F1044" s="65"/>
      <c r="G1044" s="65"/>
      <c r="H1044" s="65"/>
      <c r="I1044" s="65"/>
      <c r="J1044" s="65"/>
      <c r="K1044" s="65"/>
      <c r="L1044" s="65"/>
      <c r="M1044" s="65"/>
      <c r="N1044" s="65"/>
      <c r="O1044" s="65"/>
      <c r="P1044" s="65"/>
      <c r="Q1044" s="65"/>
      <c r="R1044" s="65"/>
      <c r="S1044" s="65"/>
      <c r="T1044" s="65"/>
      <c r="U1044" s="65"/>
      <c r="V1044" s="65"/>
      <c r="W1044" s="65"/>
      <c r="X1044" s="65"/>
      <c r="Y1044" s="65"/>
      <c r="Z1044" s="65"/>
    </row>
    <row r="1045">
      <c r="A1045" s="109"/>
      <c r="B1045" s="65"/>
      <c r="C1045" s="65"/>
      <c r="D1045" s="65"/>
      <c r="E1045" s="65"/>
      <c r="F1045" s="65"/>
      <c r="G1045" s="65"/>
      <c r="H1045" s="65"/>
      <c r="I1045" s="65"/>
      <c r="J1045" s="65"/>
      <c r="K1045" s="65"/>
      <c r="L1045" s="65"/>
      <c r="M1045" s="65"/>
      <c r="N1045" s="65"/>
      <c r="O1045" s="65"/>
      <c r="P1045" s="65"/>
      <c r="Q1045" s="65"/>
      <c r="R1045" s="65"/>
      <c r="S1045" s="65"/>
      <c r="T1045" s="65"/>
      <c r="U1045" s="65"/>
      <c r="V1045" s="65"/>
      <c r="W1045" s="65"/>
      <c r="X1045" s="65"/>
      <c r="Y1045" s="65"/>
      <c r="Z1045" s="65"/>
    </row>
    <row r="1046">
      <c r="A1046" s="109"/>
      <c r="B1046" s="65"/>
      <c r="C1046" s="65"/>
      <c r="D1046" s="65"/>
      <c r="E1046" s="65"/>
      <c r="F1046" s="65"/>
      <c r="G1046" s="65"/>
      <c r="H1046" s="65"/>
      <c r="I1046" s="65"/>
      <c r="J1046" s="65"/>
      <c r="K1046" s="65"/>
      <c r="L1046" s="65"/>
      <c r="M1046" s="65"/>
      <c r="N1046" s="65"/>
      <c r="O1046" s="65"/>
      <c r="P1046" s="65"/>
      <c r="Q1046" s="65"/>
      <c r="R1046" s="65"/>
      <c r="S1046" s="65"/>
      <c r="T1046" s="65"/>
      <c r="U1046" s="65"/>
      <c r="V1046" s="65"/>
      <c r="W1046" s="65"/>
      <c r="X1046" s="65"/>
      <c r="Y1046" s="65"/>
      <c r="Z1046" s="65"/>
    </row>
    <row r="1047">
      <c r="A1047" s="109"/>
      <c r="B1047" s="65"/>
      <c r="C1047" s="65"/>
      <c r="D1047" s="65"/>
      <c r="E1047" s="65"/>
      <c r="F1047" s="65"/>
      <c r="G1047" s="65"/>
      <c r="H1047" s="65"/>
      <c r="I1047" s="65"/>
      <c r="J1047" s="65"/>
      <c r="K1047" s="65"/>
      <c r="L1047" s="65"/>
      <c r="M1047" s="65"/>
      <c r="N1047" s="65"/>
      <c r="O1047" s="65"/>
      <c r="P1047" s="65"/>
      <c r="Q1047" s="65"/>
      <c r="R1047" s="65"/>
      <c r="S1047" s="65"/>
      <c r="T1047" s="65"/>
      <c r="U1047" s="65"/>
      <c r="V1047" s="65"/>
      <c r="W1047" s="65"/>
      <c r="X1047" s="65"/>
      <c r="Y1047" s="65"/>
      <c r="Z1047" s="65"/>
    </row>
    <row r="1048">
      <c r="A1048" s="109"/>
      <c r="B1048" s="65"/>
      <c r="C1048" s="65"/>
      <c r="D1048" s="65"/>
      <c r="E1048" s="65"/>
      <c r="F1048" s="65"/>
      <c r="G1048" s="65"/>
      <c r="H1048" s="65"/>
      <c r="I1048" s="65"/>
      <c r="J1048" s="65"/>
      <c r="K1048" s="65"/>
      <c r="L1048" s="65"/>
      <c r="M1048" s="65"/>
      <c r="N1048" s="65"/>
      <c r="O1048" s="65"/>
      <c r="P1048" s="65"/>
      <c r="Q1048" s="65"/>
      <c r="R1048" s="65"/>
      <c r="S1048" s="65"/>
      <c r="T1048" s="65"/>
      <c r="U1048" s="65"/>
      <c r="V1048" s="65"/>
      <c r="W1048" s="65"/>
      <c r="X1048" s="65"/>
      <c r="Y1048" s="65"/>
      <c r="Z1048" s="65"/>
    </row>
    <row r="1049">
      <c r="A1049" s="109"/>
      <c r="B1049" s="65"/>
      <c r="C1049" s="65"/>
      <c r="D1049" s="65"/>
      <c r="E1049" s="65"/>
      <c r="F1049" s="65"/>
      <c r="G1049" s="65"/>
      <c r="H1049" s="65"/>
      <c r="I1049" s="65"/>
      <c r="J1049" s="65"/>
      <c r="K1049" s="65"/>
      <c r="L1049" s="65"/>
      <c r="M1049" s="65"/>
      <c r="N1049" s="65"/>
      <c r="O1049" s="65"/>
      <c r="P1049" s="65"/>
      <c r="Q1049" s="65"/>
      <c r="R1049" s="65"/>
      <c r="S1049" s="65"/>
      <c r="T1049" s="65"/>
      <c r="U1049" s="65"/>
      <c r="V1049" s="65"/>
      <c r="W1049" s="65"/>
      <c r="X1049" s="65"/>
      <c r="Y1049" s="65"/>
      <c r="Z1049" s="65"/>
    </row>
    <row r="1050">
      <c r="A1050" s="109"/>
      <c r="B1050" s="65"/>
      <c r="C1050" s="65"/>
      <c r="D1050" s="65"/>
      <c r="E1050" s="65"/>
      <c r="F1050" s="65"/>
      <c r="G1050" s="65"/>
      <c r="H1050" s="65"/>
      <c r="I1050" s="65"/>
      <c r="J1050" s="65"/>
      <c r="K1050" s="65"/>
      <c r="L1050" s="65"/>
      <c r="M1050" s="65"/>
      <c r="N1050" s="65"/>
      <c r="O1050" s="65"/>
      <c r="P1050" s="65"/>
      <c r="Q1050" s="65"/>
      <c r="R1050" s="65"/>
      <c r="S1050" s="65"/>
      <c r="T1050" s="65"/>
      <c r="U1050" s="65"/>
      <c r="V1050" s="65"/>
      <c r="W1050" s="65"/>
      <c r="X1050" s="65"/>
      <c r="Y1050" s="65"/>
      <c r="Z1050" s="65"/>
    </row>
    <row r="1051">
      <c r="A1051" s="109"/>
      <c r="B1051" s="65"/>
      <c r="C1051" s="65"/>
      <c r="D1051" s="65"/>
      <c r="E1051" s="65"/>
      <c r="F1051" s="65"/>
      <c r="G1051" s="65"/>
      <c r="H1051" s="65"/>
      <c r="I1051" s="65"/>
      <c r="J1051" s="65"/>
      <c r="K1051" s="65"/>
      <c r="L1051" s="65"/>
      <c r="M1051" s="65"/>
      <c r="N1051" s="65"/>
      <c r="O1051" s="65"/>
      <c r="P1051" s="65"/>
      <c r="Q1051" s="65"/>
      <c r="R1051" s="65"/>
      <c r="S1051" s="65"/>
      <c r="T1051" s="65"/>
      <c r="U1051" s="65"/>
      <c r="V1051" s="65"/>
      <c r="W1051" s="65"/>
      <c r="X1051" s="65"/>
      <c r="Y1051" s="65"/>
      <c r="Z1051" s="65"/>
    </row>
    <row r="1052">
      <c r="A1052" s="109"/>
      <c r="B1052" s="65"/>
      <c r="C1052" s="65"/>
      <c r="D1052" s="65"/>
      <c r="E1052" s="65"/>
      <c r="F1052" s="65"/>
      <c r="G1052" s="65"/>
      <c r="H1052" s="65"/>
      <c r="I1052" s="65"/>
      <c r="J1052" s="65"/>
      <c r="K1052" s="65"/>
      <c r="L1052" s="65"/>
      <c r="M1052" s="65"/>
      <c r="N1052" s="65"/>
      <c r="O1052" s="65"/>
      <c r="P1052" s="65"/>
      <c r="Q1052" s="65"/>
      <c r="R1052" s="65"/>
      <c r="S1052" s="65"/>
      <c r="T1052" s="65"/>
      <c r="U1052" s="65"/>
      <c r="V1052" s="65"/>
      <c r="W1052" s="65"/>
      <c r="X1052" s="65"/>
      <c r="Y1052" s="65"/>
      <c r="Z1052" s="65"/>
    </row>
    <row r="1053">
      <c r="A1053" s="109"/>
      <c r="B1053" s="65"/>
      <c r="C1053" s="65"/>
      <c r="D1053" s="65"/>
      <c r="E1053" s="65"/>
      <c r="F1053" s="65"/>
      <c r="G1053" s="65"/>
      <c r="H1053" s="65"/>
      <c r="I1053" s="65"/>
      <c r="J1053" s="65"/>
      <c r="K1053" s="65"/>
      <c r="L1053" s="65"/>
      <c r="M1053" s="65"/>
      <c r="N1053" s="65"/>
      <c r="O1053" s="65"/>
      <c r="P1053" s="65"/>
      <c r="Q1053" s="65"/>
      <c r="R1053" s="65"/>
      <c r="S1053" s="65"/>
      <c r="T1053" s="65"/>
      <c r="U1053" s="65"/>
      <c r="V1053" s="65"/>
      <c r="W1053" s="65"/>
      <c r="X1053" s="65"/>
      <c r="Y1053" s="65"/>
      <c r="Z1053" s="65"/>
    </row>
    <row r="1054">
      <c r="A1054" s="109"/>
      <c r="B1054" s="65"/>
      <c r="C1054" s="65"/>
      <c r="D1054" s="65"/>
      <c r="E1054" s="65"/>
      <c r="F1054" s="65"/>
      <c r="G1054" s="65"/>
      <c r="H1054" s="65"/>
      <c r="I1054" s="65"/>
      <c r="J1054" s="65"/>
      <c r="K1054" s="65"/>
      <c r="L1054" s="65"/>
      <c r="M1054" s="65"/>
      <c r="N1054" s="65"/>
      <c r="O1054" s="65"/>
      <c r="P1054" s="65"/>
      <c r="Q1054" s="65"/>
      <c r="R1054" s="65"/>
      <c r="S1054" s="65"/>
      <c r="T1054" s="65"/>
      <c r="U1054" s="65"/>
      <c r="V1054" s="65"/>
      <c r="W1054" s="65"/>
      <c r="X1054" s="65"/>
      <c r="Y1054" s="65"/>
      <c r="Z1054" s="65"/>
    </row>
    <row r="1055">
      <c r="A1055" s="109"/>
      <c r="B1055" s="65"/>
      <c r="C1055" s="65"/>
      <c r="D1055" s="65"/>
      <c r="E1055" s="65"/>
      <c r="F1055" s="65"/>
      <c r="G1055" s="65"/>
      <c r="H1055" s="65"/>
      <c r="I1055" s="65"/>
      <c r="J1055" s="65"/>
      <c r="K1055" s="65"/>
      <c r="L1055" s="65"/>
      <c r="M1055" s="65"/>
      <c r="N1055" s="65"/>
      <c r="O1055" s="65"/>
      <c r="P1055" s="65"/>
      <c r="Q1055" s="65"/>
      <c r="R1055" s="65"/>
      <c r="S1055" s="65"/>
      <c r="T1055" s="65"/>
      <c r="U1055" s="65"/>
      <c r="V1055" s="65"/>
      <c r="W1055" s="65"/>
      <c r="X1055" s="65"/>
      <c r="Y1055" s="65"/>
      <c r="Z1055" s="65"/>
    </row>
    <row r="1056">
      <c r="A1056" s="109"/>
      <c r="B1056" s="65"/>
      <c r="C1056" s="65"/>
      <c r="D1056" s="65"/>
      <c r="E1056" s="65"/>
      <c r="F1056" s="65"/>
      <c r="G1056" s="65"/>
      <c r="H1056" s="65"/>
      <c r="I1056" s="65"/>
      <c r="J1056" s="65"/>
      <c r="K1056" s="65"/>
      <c r="L1056" s="65"/>
      <c r="M1056" s="65"/>
      <c r="N1056" s="65"/>
      <c r="O1056" s="65"/>
      <c r="P1056" s="65"/>
      <c r="Q1056" s="65"/>
      <c r="R1056" s="65"/>
      <c r="S1056" s="65"/>
      <c r="T1056" s="65"/>
      <c r="U1056" s="65"/>
      <c r="V1056" s="65"/>
      <c r="W1056" s="65"/>
      <c r="X1056" s="65"/>
      <c r="Y1056" s="65"/>
      <c r="Z1056" s="65"/>
    </row>
    <row r="1057">
      <c r="A1057" s="109"/>
      <c r="B1057" s="65"/>
      <c r="C1057" s="65"/>
      <c r="D1057" s="65"/>
      <c r="E1057" s="65"/>
      <c r="F1057" s="65"/>
      <c r="G1057" s="65"/>
      <c r="H1057" s="65"/>
      <c r="I1057" s="65"/>
      <c r="J1057" s="65"/>
      <c r="K1057" s="65"/>
      <c r="L1057" s="65"/>
      <c r="M1057" s="65"/>
      <c r="N1057" s="65"/>
      <c r="O1057" s="65"/>
      <c r="P1057" s="65"/>
      <c r="Q1057" s="65"/>
      <c r="R1057" s="65"/>
      <c r="S1057" s="65"/>
      <c r="T1057" s="65"/>
      <c r="U1057" s="65"/>
      <c r="V1057" s="65"/>
      <c r="W1057" s="65"/>
      <c r="X1057" s="65"/>
      <c r="Y1057" s="65"/>
      <c r="Z1057" s="65"/>
    </row>
    <row r="1058">
      <c r="A1058" s="109"/>
      <c r="B1058" s="65"/>
      <c r="C1058" s="65"/>
      <c r="D1058" s="65"/>
      <c r="E1058" s="65"/>
      <c r="F1058" s="65"/>
      <c r="G1058" s="65"/>
      <c r="H1058" s="65"/>
      <c r="I1058" s="65"/>
      <c r="J1058" s="65"/>
      <c r="K1058" s="65"/>
      <c r="L1058" s="65"/>
      <c r="M1058" s="65"/>
      <c r="N1058" s="65"/>
      <c r="O1058" s="65"/>
      <c r="P1058" s="65"/>
      <c r="Q1058" s="65"/>
      <c r="R1058" s="65"/>
      <c r="S1058" s="65"/>
      <c r="T1058" s="65"/>
      <c r="U1058" s="65"/>
      <c r="V1058" s="65"/>
      <c r="W1058" s="65"/>
      <c r="X1058" s="65"/>
      <c r="Y1058" s="65"/>
      <c r="Z1058" s="65"/>
    </row>
    <row r="1059">
      <c r="A1059" s="109"/>
      <c r="B1059" s="65"/>
      <c r="C1059" s="65"/>
      <c r="D1059" s="65"/>
      <c r="E1059" s="65"/>
      <c r="F1059" s="65"/>
      <c r="G1059" s="65"/>
      <c r="H1059" s="65"/>
      <c r="I1059" s="65"/>
      <c r="J1059" s="65"/>
      <c r="K1059" s="65"/>
      <c r="L1059" s="65"/>
      <c r="M1059" s="65"/>
      <c r="N1059" s="65"/>
      <c r="O1059" s="65"/>
      <c r="P1059" s="65"/>
      <c r="Q1059" s="65"/>
      <c r="R1059" s="65"/>
      <c r="S1059" s="65"/>
      <c r="T1059" s="65"/>
      <c r="U1059" s="65"/>
      <c r="V1059" s="65"/>
      <c r="W1059" s="65"/>
      <c r="X1059" s="65"/>
      <c r="Y1059" s="65"/>
      <c r="Z1059" s="65"/>
    </row>
    <row r="1060">
      <c r="A1060" s="109"/>
      <c r="B1060" s="65"/>
      <c r="C1060" s="65"/>
      <c r="D1060" s="65"/>
      <c r="E1060" s="65"/>
      <c r="F1060" s="65"/>
      <c r="G1060" s="65"/>
      <c r="H1060" s="65"/>
      <c r="I1060" s="65"/>
      <c r="J1060" s="65"/>
      <c r="K1060" s="65"/>
      <c r="L1060" s="65"/>
      <c r="M1060" s="65"/>
      <c r="N1060" s="65"/>
      <c r="O1060" s="65"/>
      <c r="P1060" s="65"/>
      <c r="Q1060" s="65"/>
      <c r="R1060" s="65"/>
      <c r="S1060" s="65"/>
      <c r="T1060" s="65"/>
      <c r="U1060" s="65"/>
      <c r="V1060" s="65"/>
      <c r="W1060" s="65"/>
      <c r="X1060" s="65"/>
      <c r="Y1060" s="65"/>
      <c r="Z1060" s="65"/>
    </row>
    <row r="1061">
      <c r="A1061" s="109"/>
      <c r="B1061" s="65"/>
      <c r="C1061" s="65"/>
      <c r="D1061" s="65"/>
      <c r="E1061" s="65"/>
      <c r="F1061" s="65"/>
      <c r="G1061" s="65"/>
      <c r="H1061" s="65"/>
      <c r="I1061" s="65"/>
      <c r="J1061" s="65"/>
      <c r="K1061" s="65"/>
      <c r="L1061" s="65"/>
      <c r="M1061" s="65"/>
      <c r="N1061" s="65"/>
      <c r="O1061" s="65"/>
      <c r="P1061" s="65"/>
      <c r="Q1061" s="65"/>
      <c r="R1061" s="65"/>
      <c r="S1061" s="65"/>
      <c r="T1061" s="65"/>
      <c r="U1061" s="65"/>
      <c r="V1061" s="65"/>
      <c r="W1061" s="65"/>
      <c r="X1061" s="65"/>
      <c r="Y1061" s="65"/>
      <c r="Z1061" s="65"/>
    </row>
    <row r="1062">
      <c r="A1062" s="109"/>
      <c r="B1062" s="65"/>
      <c r="C1062" s="65"/>
      <c r="D1062" s="65"/>
      <c r="E1062" s="65"/>
      <c r="F1062" s="65"/>
      <c r="G1062" s="65"/>
      <c r="H1062" s="65"/>
      <c r="I1062" s="65"/>
      <c r="J1062" s="65"/>
      <c r="K1062" s="65"/>
      <c r="L1062" s="65"/>
      <c r="M1062" s="65"/>
      <c r="N1062" s="65"/>
      <c r="O1062" s="65"/>
      <c r="P1062" s="65"/>
      <c r="Q1062" s="65"/>
      <c r="R1062" s="65"/>
      <c r="S1062" s="65"/>
      <c r="T1062" s="65"/>
      <c r="U1062" s="65"/>
      <c r="V1062" s="65"/>
      <c r="W1062" s="65"/>
      <c r="X1062" s="65"/>
      <c r="Y1062" s="65"/>
      <c r="Z1062" s="65"/>
    </row>
    <row r="1063">
      <c r="A1063" s="109"/>
      <c r="B1063" s="65"/>
      <c r="C1063" s="65"/>
      <c r="D1063" s="65"/>
      <c r="E1063" s="65"/>
      <c r="F1063" s="65"/>
      <c r="G1063" s="65"/>
      <c r="H1063" s="65"/>
      <c r="I1063" s="65"/>
      <c r="J1063" s="65"/>
      <c r="K1063" s="65"/>
      <c r="L1063" s="65"/>
      <c r="M1063" s="65"/>
      <c r="N1063" s="65"/>
      <c r="O1063" s="65"/>
      <c r="P1063" s="65"/>
      <c r="Q1063" s="65"/>
      <c r="R1063" s="65"/>
      <c r="S1063" s="65"/>
      <c r="T1063" s="65"/>
      <c r="U1063" s="65"/>
      <c r="V1063" s="65"/>
      <c r="W1063" s="65"/>
      <c r="X1063" s="65"/>
      <c r="Y1063" s="65"/>
      <c r="Z1063" s="65"/>
    </row>
    <row r="1064">
      <c r="A1064" s="109"/>
      <c r="B1064" s="65"/>
      <c r="C1064" s="65"/>
      <c r="D1064" s="65"/>
      <c r="E1064" s="65"/>
      <c r="F1064" s="65"/>
      <c r="G1064" s="65"/>
      <c r="H1064" s="65"/>
      <c r="I1064" s="65"/>
      <c r="J1064" s="65"/>
      <c r="K1064" s="65"/>
      <c r="L1064" s="65"/>
      <c r="M1064" s="65"/>
      <c r="N1064" s="65"/>
      <c r="O1064" s="65"/>
      <c r="P1064" s="65"/>
      <c r="Q1064" s="65"/>
      <c r="R1064" s="65"/>
      <c r="S1064" s="65"/>
      <c r="T1064" s="65"/>
      <c r="U1064" s="65"/>
      <c r="V1064" s="65"/>
      <c r="W1064" s="65"/>
      <c r="X1064" s="65"/>
      <c r="Y1064" s="65"/>
      <c r="Z1064" s="65"/>
    </row>
    <row r="1065">
      <c r="A1065" s="109"/>
      <c r="B1065" s="65"/>
      <c r="C1065" s="65"/>
      <c r="D1065" s="65"/>
      <c r="E1065" s="65"/>
      <c r="F1065" s="65"/>
      <c r="G1065" s="65"/>
      <c r="H1065" s="65"/>
      <c r="I1065" s="65"/>
      <c r="J1065" s="65"/>
      <c r="K1065" s="65"/>
      <c r="L1065" s="65"/>
      <c r="M1065" s="65"/>
      <c r="N1065" s="65"/>
      <c r="O1065" s="65"/>
      <c r="P1065" s="65"/>
      <c r="Q1065" s="65"/>
      <c r="R1065" s="65"/>
      <c r="S1065" s="65"/>
      <c r="T1065" s="65"/>
      <c r="U1065" s="65"/>
      <c r="V1065" s="65"/>
      <c r="W1065" s="65"/>
      <c r="X1065" s="65"/>
      <c r="Y1065" s="65"/>
      <c r="Z1065" s="65"/>
    </row>
    <row r="1066">
      <c r="A1066" s="109"/>
      <c r="B1066" s="65"/>
      <c r="C1066" s="65"/>
      <c r="D1066" s="65"/>
      <c r="E1066" s="65"/>
      <c r="F1066" s="65"/>
      <c r="G1066" s="65"/>
      <c r="H1066" s="65"/>
      <c r="I1066" s="65"/>
      <c r="J1066" s="65"/>
      <c r="K1066" s="65"/>
      <c r="L1066" s="65"/>
      <c r="M1066" s="65"/>
      <c r="N1066" s="65"/>
      <c r="O1066" s="65"/>
      <c r="P1066" s="65"/>
      <c r="Q1066" s="65"/>
      <c r="R1066" s="65"/>
      <c r="S1066" s="65"/>
      <c r="T1066" s="65"/>
      <c r="U1066" s="65"/>
      <c r="V1066" s="65"/>
      <c r="W1066" s="65"/>
      <c r="X1066" s="65"/>
      <c r="Y1066" s="65"/>
      <c r="Z1066" s="65"/>
    </row>
    <row r="1067">
      <c r="A1067" s="109"/>
      <c r="B1067" s="65"/>
      <c r="C1067" s="65"/>
      <c r="D1067" s="65"/>
      <c r="E1067" s="65"/>
      <c r="F1067" s="65"/>
      <c r="G1067" s="65"/>
      <c r="H1067" s="65"/>
      <c r="I1067" s="65"/>
      <c r="J1067" s="65"/>
      <c r="K1067" s="65"/>
      <c r="L1067" s="65"/>
      <c r="M1067" s="65"/>
      <c r="N1067" s="65"/>
      <c r="O1067" s="65"/>
      <c r="P1067" s="65"/>
      <c r="Q1067" s="65"/>
      <c r="R1067" s="65"/>
      <c r="S1067" s="65"/>
      <c r="T1067" s="65"/>
      <c r="U1067" s="65"/>
      <c r="V1067" s="65"/>
      <c r="W1067" s="65"/>
      <c r="X1067" s="65"/>
      <c r="Y1067" s="65"/>
      <c r="Z1067" s="65"/>
    </row>
    <row r="1068">
      <c r="A1068" s="109"/>
      <c r="B1068" s="65"/>
      <c r="C1068" s="65"/>
      <c r="D1068" s="65"/>
      <c r="E1068" s="65"/>
      <c r="F1068" s="65"/>
      <c r="G1068" s="65"/>
      <c r="H1068" s="65"/>
      <c r="I1068" s="65"/>
      <c r="J1068" s="65"/>
      <c r="K1068" s="65"/>
      <c r="L1068" s="65"/>
      <c r="M1068" s="65"/>
      <c r="N1068" s="65"/>
      <c r="O1068" s="65"/>
      <c r="P1068" s="65"/>
      <c r="Q1068" s="65"/>
      <c r="R1068" s="65"/>
      <c r="S1068" s="65"/>
      <c r="T1068" s="65"/>
      <c r="U1068" s="65"/>
      <c r="V1068" s="65"/>
      <c r="W1068" s="65"/>
      <c r="X1068" s="65"/>
      <c r="Y1068" s="65"/>
      <c r="Z1068" s="65"/>
    </row>
    <row r="1069">
      <c r="A1069" s="109"/>
      <c r="B1069" s="65"/>
      <c r="C1069" s="65"/>
      <c r="D1069" s="65"/>
      <c r="E1069" s="65"/>
      <c r="F1069" s="65"/>
      <c r="G1069" s="65"/>
      <c r="H1069" s="65"/>
      <c r="I1069" s="65"/>
      <c r="J1069" s="65"/>
      <c r="K1069" s="65"/>
      <c r="L1069" s="65"/>
      <c r="M1069" s="65"/>
      <c r="N1069" s="65"/>
      <c r="O1069" s="65"/>
      <c r="P1069" s="65"/>
      <c r="Q1069" s="65"/>
      <c r="R1069" s="65"/>
      <c r="S1069" s="65"/>
      <c r="T1069" s="65"/>
      <c r="U1069" s="65"/>
      <c r="V1069" s="65"/>
      <c r="W1069" s="65"/>
      <c r="X1069" s="65"/>
      <c r="Y1069" s="65"/>
      <c r="Z1069" s="65"/>
    </row>
    <row r="1070">
      <c r="A1070" s="109"/>
      <c r="B1070" s="65"/>
      <c r="C1070" s="65"/>
      <c r="D1070" s="65"/>
      <c r="E1070" s="65"/>
      <c r="F1070" s="65"/>
      <c r="G1070" s="65"/>
      <c r="H1070" s="65"/>
      <c r="I1070" s="65"/>
      <c r="J1070" s="65"/>
      <c r="K1070" s="65"/>
      <c r="L1070" s="65"/>
      <c r="M1070" s="65"/>
      <c r="N1070" s="65"/>
      <c r="O1070" s="65"/>
      <c r="P1070" s="65"/>
      <c r="Q1070" s="65"/>
      <c r="R1070" s="65"/>
      <c r="S1070" s="65"/>
      <c r="T1070" s="65"/>
      <c r="U1070" s="65"/>
      <c r="V1070" s="65"/>
      <c r="W1070" s="65"/>
      <c r="X1070" s="65"/>
      <c r="Y1070" s="65"/>
      <c r="Z1070" s="65"/>
    </row>
    <row r="1071">
      <c r="A1071" s="109"/>
      <c r="B1071" s="65"/>
      <c r="C1071" s="65"/>
      <c r="D1071" s="65"/>
      <c r="E1071" s="65"/>
      <c r="F1071" s="65"/>
      <c r="G1071" s="65"/>
      <c r="H1071" s="65"/>
      <c r="I1071" s="65"/>
      <c r="J1071" s="65"/>
      <c r="K1071" s="65"/>
      <c r="L1071" s="65"/>
      <c r="M1071" s="65"/>
      <c r="N1071" s="65"/>
      <c r="O1071" s="65"/>
      <c r="P1071" s="65"/>
      <c r="Q1071" s="65"/>
      <c r="R1071" s="65"/>
      <c r="S1071" s="65"/>
      <c r="T1071" s="65"/>
      <c r="U1071" s="65"/>
      <c r="V1071" s="65"/>
      <c r="W1071" s="65"/>
      <c r="X1071" s="65"/>
      <c r="Y1071" s="65"/>
      <c r="Z1071" s="65"/>
    </row>
    <row r="1072">
      <c r="A1072" s="109"/>
      <c r="B1072" s="65"/>
      <c r="C1072" s="65"/>
      <c r="D1072" s="65"/>
      <c r="E1072" s="65"/>
      <c r="F1072" s="65"/>
      <c r="G1072" s="65"/>
      <c r="H1072" s="65"/>
      <c r="I1072" s="65"/>
      <c r="J1072" s="65"/>
      <c r="K1072" s="65"/>
      <c r="L1072" s="65"/>
      <c r="M1072" s="65"/>
      <c r="N1072" s="65"/>
      <c r="O1072" s="65"/>
      <c r="P1072" s="65"/>
      <c r="Q1072" s="65"/>
      <c r="R1072" s="65"/>
      <c r="S1072" s="65"/>
      <c r="T1072" s="65"/>
      <c r="U1072" s="65"/>
      <c r="V1072" s="65"/>
      <c r="W1072" s="65"/>
      <c r="X1072" s="65"/>
      <c r="Y1072" s="65"/>
      <c r="Z1072" s="65"/>
    </row>
    <row r="1073">
      <c r="A1073" s="109"/>
      <c r="B1073" s="65"/>
      <c r="C1073" s="65"/>
      <c r="D1073" s="65"/>
      <c r="E1073" s="65"/>
      <c r="F1073" s="65"/>
      <c r="G1073" s="65"/>
      <c r="H1073" s="65"/>
      <c r="I1073" s="65"/>
      <c r="J1073" s="65"/>
      <c r="K1073" s="65"/>
      <c r="L1073" s="65"/>
      <c r="M1073" s="65"/>
      <c r="N1073" s="65"/>
      <c r="O1073" s="65"/>
      <c r="P1073" s="65"/>
      <c r="Q1073" s="65"/>
      <c r="R1073" s="65"/>
      <c r="S1073" s="65"/>
      <c r="T1073" s="65"/>
      <c r="U1073" s="65"/>
      <c r="V1073" s="65"/>
      <c r="W1073" s="65"/>
      <c r="X1073" s="65"/>
      <c r="Y1073" s="65"/>
      <c r="Z1073" s="65"/>
    </row>
    <row r="1074">
      <c r="A1074" s="109"/>
      <c r="B1074" s="65"/>
      <c r="C1074" s="65"/>
      <c r="D1074" s="65"/>
      <c r="E1074" s="65"/>
      <c r="F1074" s="65"/>
      <c r="G1074" s="65"/>
      <c r="H1074" s="65"/>
      <c r="I1074" s="65"/>
      <c r="J1074" s="65"/>
      <c r="K1074" s="65"/>
      <c r="L1074" s="65"/>
      <c r="M1074" s="65"/>
      <c r="N1074" s="65"/>
      <c r="O1074" s="65"/>
      <c r="P1074" s="65"/>
      <c r="Q1074" s="65"/>
      <c r="R1074" s="65"/>
      <c r="S1074" s="65"/>
      <c r="T1074" s="65"/>
      <c r="U1074" s="65"/>
      <c r="V1074" s="65"/>
      <c r="W1074" s="65"/>
      <c r="X1074" s="65"/>
      <c r="Y1074" s="65"/>
      <c r="Z1074" s="65"/>
    </row>
    <row r="1075">
      <c r="A1075" s="109"/>
      <c r="B1075" s="65"/>
      <c r="C1075" s="65"/>
      <c r="D1075" s="65"/>
      <c r="E1075" s="65"/>
      <c r="F1075" s="65"/>
      <c r="G1075" s="65"/>
      <c r="H1075" s="65"/>
      <c r="I1075" s="65"/>
      <c r="J1075" s="65"/>
      <c r="K1075" s="65"/>
      <c r="L1075" s="65"/>
      <c r="M1075" s="65"/>
      <c r="N1075" s="65"/>
      <c r="O1075" s="65"/>
      <c r="P1075" s="65"/>
      <c r="Q1075" s="65"/>
      <c r="R1075" s="65"/>
      <c r="S1075" s="65"/>
      <c r="T1075" s="65"/>
      <c r="U1075" s="65"/>
      <c r="V1075" s="65"/>
      <c r="W1075" s="65"/>
      <c r="X1075" s="65"/>
      <c r="Y1075" s="65"/>
      <c r="Z1075" s="65"/>
    </row>
    <row r="1076">
      <c r="A1076" s="109"/>
      <c r="B1076" s="65"/>
      <c r="C1076" s="65"/>
      <c r="D1076" s="65"/>
      <c r="E1076" s="65"/>
      <c r="F1076" s="65"/>
      <c r="G1076" s="65"/>
      <c r="H1076" s="65"/>
      <c r="I1076" s="65"/>
      <c r="J1076" s="65"/>
      <c r="K1076" s="65"/>
      <c r="L1076" s="65"/>
      <c r="M1076" s="65"/>
      <c r="N1076" s="65"/>
      <c r="O1076" s="65"/>
      <c r="P1076" s="65"/>
      <c r="Q1076" s="65"/>
      <c r="R1076" s="65"/>
      <c r="S1076" s="65"/>
      <c r="T1076" s="65"/>
      <c r="U1076" s="65"/>
      <c r="V1076" s="65"/>
      <c r="W1076" s="65"/>
      <c r="X1076" s="65"/>
      <c r="Y1076" s="65"/>
      <c r="Z1076" s="65"/>
    </row>
    <row r="1077">
      <c r="A1077" s="109"/>
      <c r="B1077" s="65"/>
      <c r="C1077" s="65"/>
      <c r="D1077" s="65"/>
      <c r="E1077" s="65"/>
      <c r="F1077" s="65"/>
      <c r="G1077" s="65"/>
      <c r="H1077" s="65"/>
      <c r="I1077" s="65"/>
      <c r="J1077" s="65"/>
      <c r="K1077" s="65"/>
      <c r="L1077" s="65"/>
      <c r="M1077" s="65"/>
      <c r="N1077" s="65"/>
      <c r="O1077" s="65"/>
      <c r="P1077" s="65"/>
      <c r="Q1077" s="65"/>
      <c r="R1077" s="65"/>
      <c r="S1077" s="65"/>
      <c r="T1077" s="65"/>
      <c r="U1077" s="65"/>
      <c r="V1077" s="65"/>
      <c r="W1077" s="65"/>
      <c r="X1077" s="65"/>
      <c r="Y1077" s="65"/>
      <c r="Z1077" s="65"/>
    </row>
    <row r="1078">
      <c r="A1078" s="109"/>
      <c r="B1078" s="65"/>
      <c r="C1078" s="65"/>
      <c r="D1078" s="65"/>
      <c r="E1078" s="65"/>
      <c r="F1078" s="65"/>
      <c r="G1078" s="65"/>
      <c r="H1078" s="65"/>
      <c r="I1078" s="65"/>
      <c r="J1078" s="65"/>
      <c r="K1078" s="65"/>
      <c r="L1078" s="65"/>
      <c r="M1078" s="65"/>
      <c r="N1078" s="65"/>
      <c r="O1078" s="65"/>
      <c r="P1078" s="65"/>
      <c r="Q1078" s="65"/>
      <c r="R1078" s="65"/>
      <c r="S1078" s="65"/>
      <c r="T1078" s="65"/>
      <c r="U1078" s="65"/>
      <c r="V1078" s="65"/>
      <c r="W1078" s="65"/>
      <c r="X1078" s="65"/>
      <c r="Y1078" s="65"/>
      <c r="Z1078" s="65"/>
    </row>
    <row r="1079">
      <c r="A1079" s="109"/>
      <c r="B1079" s="65"/>
      <c r="C1079" s="65"/>
      <c r="D1079" s="65"/>
      <c r="E1079" s="65"/>
      <c r="F1079" s="65"/>
      <c r="G1079" s="65"/>
      <c r="H1079" s="65"/>
      <c r="I1079" s="65"/>
      <c r="J1079" s="65"/>
      <c r="K1079" s="65"/>
      <c r="L1079" s="65"/>
      <c r="M1079" s="65"/>
      <c r="N1079" s="65"/>
      <c r="O1079" s="65"/>
      <c r="P1079" s="65"/>
      <c r="Q1079" s="65"/>
      <c r="R1079" s="65"/>
      <c r="S1079" s="65"/>
      <c r="T1079" s="65"/>
      <c r="U1079" s="65"/>
      <c r="V1079" s="65"/>
      <c r="W1079" s="65"/>
      <c r="X1079" s="65"/>
      <c r="Y1079" s="65"/>
      <c r="Z1079" s="65"/>
    </row>
    <row r="1080">
      <c r="A1080" s="109"/>
      <c r="B1080" s="65"/>
      <c r="C1080" s="65"/>
      <c r="D1080" s="65"/>
      <c r="E1080" s="65"/>
      <c r="F1080" s="65"/>
      <c r="G1080" s="65"/>
      <c r="H1080" s="65"/>
      <c r="I1080" s="65"/>
      <c r="J1080" s="65"/>
      <c r="K1080" s="65"/>
      <c r="L1080" s="65"/>
      <c r="M1080" s="65"/>
      <c r="N1080" s="65"/>
      <c r="O1080" s="65"/>
      <c r="P1080" s="65"/>
      <c r="Q1080" s="65"/>
      <c r="R1080" s="65"/>
      <c r="S1080" s="65"/>
      <c r="T1080" s="65"/>
      <c r="U1080" s="65"/>
      <c r="V1080" s="65"/>
      <c r="W1080" s="65"/>
      <c r="X1080" s="65"/>
      <c r="Y1080" s="65"/>
      <c r="Z1080" s="65"/>
    </row>
    <row r="1081">
      <c r="A1081" s="109"/>
      <c r="B1081" s="65"/>
      <c r="C1081" s="65"/>
      <c r="D1081" s="65"/>
      <c r="E1081" s="65"/>
      <c r="F1081" s="65"/>
      <c r="G1081" s="65"/>
      <c r="H1081" s="65"/>
      <c r="I1081" s="65"/>
      <c r="J1081" s="65"/>
      <c r="K1081" s="65"/>
      <c r="L1081" s="65"/>
      <c r="M1081" s="65"/>
      <c r="N1081" s="65"/>
      <c r="O1081" s="65"/>
      <c r="P1081" s="65"/>
      <c r="Q1081" s="65"/>
      <c r="R1081" s="65"/>
      <c r="S1081" s="65"/>
      <c r="T1081" s="65"/>
      <c r="U1081" s="65"/>
      <c r="V1081" s="65"/>
      <c r="W1081" s="65"/>
      <c r="X1081" s="65"/>
      <c r="Y1081" s="65"/>
      <c r="Z1081" s="65"/>
    </row>
    <row r="1082">
      <c r="A1082" s="109"/>
      <c r="B1082" s="65"/>
      <c r="C1082" s="65"/>
      <c r="D1082" s="65"/>
      <c r="E1082" s="65"/>
      <c r="F1082" s="65"/>
      <c r="G1082" s="65"/>
      <c r="H1082" s="65"/>
      <c r="I1082" s="65"/>
      <c r="J1082" s="65"/>
      <c r="K1082" s="65"/>
      <c r="L1082" s="65"/>
      <c r="M1082" s="65"/>
      <c r="N1082" s="65"/>
      <c r="O1082" s="65"/>
      <c r="P1082" s="65"/>
      <c r="Q1082" s="65"/>
      <c r="R1082" s="65"/>
      <c r="S1082" s="65"/>
      <c r="T1082" s="65"/>
      <c r="U1082" s="65"/>
      <c r="V1082" s="65"/>
      <c r="W1082" s="65"/>
      <c r="X1082" s="65"/>
      <c r="Y1082" s="65"/>
      <c r="Z1082" s="65"/>
    </row>
    <row r="1083">
      <c r="A1083" s="109"/>
      <c r="B1083" s="65"/>
      <c r="C1083" s="65"/>
      <c r="D1083" s="65"/>
      <c r="E1083" s="65"/>
      <c r="F1083" s="65"/>
      <c r="G1083" s="65"/>
      <c r="H1083" s="65"/>
      <c r="I1083" s="65"/>
      <c r="J1083" s="65"/>
      <c r="K1083" s="65"/>
      <c r="L1083" s="65"/>
      <c r="M1083" s="65"/>
      <c r="N1083" s="65"/>
      <c r="O1083" s="65"/>
      <c r="P1083" s="65"/>
      <c r="Q1083" s="65"/>
      <c r="R1083" s="65"/>
      <c r="S1083" s="65"/>
      <c r="T1083" s="65"/>
      <c r="U1083" s="65"/>
      <c r="V1083" s="65"/>
      <c r="W1083" s="65"/>
      <c r="X1083" s="65"/>
      <c r="Y1083" s="65"/>
      <c r="Z1083" s="65"/>
    </row>
  </sheetData>
  <autoFilter ref="$B$3:$I$44">
    <filterColumn colId="7">
      <filters>
        <filter val="Тименчук/ Голубева"/>
        <filter val="Голубева"/>
      </filters>
    </filterColumn>
  </autoFilter>
  <mergeCells count="69">
    <mergeCell ref="C243:J243"/>
    <mergeCell ref="C244:J244"/>
    <mergeCell ref="C245:J245"/>
    <mergeCell ref="C246:J246"/>
    <mergeCell ref="B248:J248"/>
    <mergeCell ref="G251:H251"/>
    <mergeCell ref="G252:H252"/>
    <mergeCell ref="H266:H267"/>
    <mergeCell ref="H269:H275"/>
    <mergeCell ref="H287:H288"/>
    <mergeCell ref="I287:I288"/>
    <mergeCell ref="B269:B275"/>
    <mergeCell ref="A287:A288"/>
    <mergeCell ref="B287:B288"/>
    <mergeCell ref="E251:F251"/>
    <mergeCell ref="D253:E253"/>
    <mergeCell ref="D254:E254"/>
    <mergeCell ref="B264:B265"/>
    <mergeCell ref="B266:B267"/>
    <mergeCell ref="I266:I267"/>
    <mergeCell ref="I269:I271"/>
    <mergeCell ref="B1:J1"/>
    <mergeCell ref="B5:B6"/>
    <mergeCell ref="C45:J45"/>
    <mergeCell ref="C46:J46"/>
    <mergeCell ref="C47:J47"/>
    <mergeCell ref="C48:J48"/>
    <mergeCell ref="C49:J49"/>
    <mergeCell ref="C50:J50"/>
    <mergeCell ref="C51:J51"/>
    <mergeCell ref="B52:J52"/>
    <mergeCell ref="F89:G89"/>
    <mergeCell ref="B109:J109"/>
    <mergeCell ref="C110:J110"/>
    <mergeCell ref="C111:J111"/>
    <mergeCell ref="C112:J112"/>
    <mergeCell ref="C113:J113"/>
    <mergeCell ref="C114:J114"/>
    <mergeCell ref="C115:J115"/>
    <mergeCell ref="B117:J117"/>
    <mergeCell ref="B168:J168"/>
    <mergeCell ref="C169:J169"/>
    <mergeCell ref="C170:J170"/>
    <mergeCell ref="C171:J171"/>
    <mergeCell ref="C172:J172"/>
    <mergeCell ref="C173:J173"/>
    <mergeCell ref="C174:J174"/>
    <mergeCell ref="B177:J177"/>
    <mergeCell ref="E180:F180"/>
    <mergeCell ref="A196:A199"/>
    <mergeCell ref="A200:A201"/>
    <mergeCell ref="B200:B201"/>
    <mergeCell ref="C200:C201"/>
    <mergeCell ref="A220:A221"/>
    <mergeCell ref="B220:B221"/>
    <mergeCell ref="G180:H180"/>
    <mergeCell ref="G181:H181"/>
    <mergeCell ref="D182:E182"/>
    <mergeCell ref="D183:E183"/>
    <mergeCell ref="B196:B199"/>
    <mergeCell ref="H196:H199"/>
    <mergeCell ref="I196:I198"/>
    <mergeCell ref="H200:H201"/>
    <mergeCell ref="I200:I201"/>
    <mergeCell ref="H220:H221"/>
    <mergeCell ref="I220:I221"/>
    <mergeCell ref="B240:J240"/>
    <mergeCell ref="C241:J241"/>
    <mergeCell ref="C242:J242"/>
  </mergeCells>
  <dataValidations>
    <dataValidation type="list" allowBlank="1" showErrorMessage="1" sqref="C4:C44 C96:C108 C129:C132 C134:C137 C139:C166 C188:C200 C202:C239 C259:C319">
      <formula1>"RUSAPAI,RUSAPAI/ДВ Регион,БОЛТ,ДВ Регион,ДВ Регион/БОЛТ"</formula1>
    </dataValidation>
  </dataValidations>
  <hyperlinks>
    <hyperlink r:id="rId2" ref="G8"/>
    <hyperlink r:id="rId3" ref="G104"/>
    <hyperlink r:id="rId4" ref="G130"/>
  </hyperlinks>
  <printOptions gridLines="1" horizontalCentered="1"/>
  <pageMargins bottom="0.75" footer="0.0" header="0.0" left="0.7" right="0.7" top="0.75"/>
  <pageSetup fitToHeight="0" paperSize="9" cellComments="atEnd" orientation="landscape" pageOrder="overThenDown"/>
  <drawing r:id="rId5"/>
  <legacy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1" max="1" width="3.38"/>
    <col customWidth="1" min="2" max="2" width="22.88"/>
    <col customWidth="1" min="3" max="3" width="16.13"/>
    <col customWidth="1" min="4" max="4" width="20.0"/>
    <col customWidth="1" min="5" max="5" width="68.5"/>
    <col customWidth="1" min="6" max="6" width="49.88"/>
    <col customWidth="1" min="7" max="7" width="37.63"/>
    <col customWidth="1" min="8" max="8" width="54.25"/>
    <col customWidth="1" min="9" max="9" width="24.0"/>
    <col customWidth="1" min="10" max="10" width="27.25"/>
    <col customWidth="1" min="11" max="11" width="22.88"/>
    <col customWidth="1" min="12" max="12" width="14.25"/>
    <col customWidth="1" min="13" max="20" width="13.13"/>
    <col customWidth="1" min="22" max="22" width="14.13"/>
  </cols>
  <sheetData>
    <row r="1">
      <c r="A1" s="177"/>
      <c r="B1" s="177"/>
      <c r="C1" s="177"/>
      <c r="D1" s="178" t="s">
        <v>576</v>
      </c>
      <c r="E1" s="179" t="s">
        <v>1397</v>
      </c>
      <c r="F1" s="177"/>
      <c r="G1" s="177"/>
      <c r="H1" s="177"/>
      <c r="I1" s="177"/>
      <c r="J1" s="177"/>
      <c r="K1" s="177"/>
      <c r="L1" s="177"/>
      <c r="M1" s="177"/>
      <c r="N1" s="177"/>
      <c r="O1" s="177"/>
      <c r="P1" s="180"/>
      <c r="Q1" s="180" t="s">
        <v>1398</v>
      </c>
      <c r="R1" s="177"/>
      <c r="S1" s="177"/>
      <c r="T1" s="177"/>
      <c r="U1" s="177"/>
      <c r="V1" s="177"/>
      <c r="W1" s="177"/>
      <c r="X1" s="177"/>
      <c r="Y1" s="177"/>
      <c r="Z1" s="177"/>
      <c r="AA1" s="177"/>
      <c r="AB1" s="177"/>
      <c r="AC1" s="177"/>
    </row>
    <row r="2">
      <c r="A2" s="177"/>
      <c r="B2" s="177"/>
      <c r="C2" s="177"/>
      <c r="D2" s="177"/>
      <c r="E2" s="177"/>
      <c r="F2" s="177"/>
      <c r="G2" s="177"/>
      <c r="H2" s="177"/>
      <c r="I2" s="177"/>
      <c r="J2" s="177"/>
      <c r="K2" s="177"/>
      <c r="L2" s="177"/>
      <c r="M2" s="177"/>
      <c r="N2" s="177"/>
      <c r="O2" s="177"/>
      <c r="P2" s="177"/>
      <c r="Q2" s="177"/>
      <c r="R2" s="177"/>
      <c r="S2" s="177"/>
      <c r="T2" s="177"/>
      <c r="U2" s="177"/>
      <c r="V2" s="177"/>
      <c r="W2" s="177"/>
      <c r="X2" s="177"/>
      <c r="Y2" s="177"/>
      <c r="Z2" s="177"/>
      <c r="AA2" s="177"/>
      <c r="AB2" s="177"/>
      <c r="AC2" s="177"/>
    </row>
    <row r="3">
      <c r="A3" s="177"/>
      <c r="B3" s="181"/>
      <c r="C3" s="181"/>
      <c r="D3" s="181"/>
      <c r="E3" s="181"/>
      <c r="F3" s="181"/>
      <c r="G3" s="181"/>
      <c r="H3" s="181"/>
      <c r="I3" s="181"/>
      <c r="J3" s="181"/>
      <c r="K3" s="181"/>
      <c r="L3" s="177"/>
      <c r="M3" s="182" t="s">
        <v>1399</v>
      </c>
      <c r="N3" s="102"/>
      <c r="O3" s="102"/>
      <c r="P3" s="102"/>
      <c r="Q3" s="102"/>
      <c r="R3" s="102"/>
      <c r="S3" s="102"/>
      <c r="T3" s="102"/>
      <c r="U3" s="102"/>
      <c r="V3" s="102"/>
      <c r="W3" s="102"/>
      <c r="X3" s="56"/>
      <c r="Y3" s="177"/>
      <c r="Z3" s="177"/>
      <c r="AA3" s="177"/>
      <c r="AB3" s="177"/>
      <c r="AC3" s="177"/>
    </row>
    <row r="4" ht="22.5" customHeight="1">
      <c r="A4" s="177"/>
      <c r="B4" s="183" t="s">
        <v>4</v>
      </c>
      <c r="C4" s="184" t="s">
        <v>1400</v>
      </c>
      <c r="D4" s="184" t="s">
        <v>1401</v>
      </c>
      <c r="E4" s="184" t="s">
        <v>1402</v>
      </c>
      <c r="F4" s="184" t="s">
        <v>1403</v>
      </c>
      <c r="G4" s="184" t="s">
        <v>1404</v>
      </c>
      <c r="H4" s="184" t="s">
        <v>1405</v>
      </c>
      <c r="I4" s="184" t="s">
        <v>1406</v>
      </c>
      <c r="J4" s="184" t="s">
        <v>1407</v>
      </c>
      <c r="K4" s="185" t="s">
        <v>326</v>
      </c>
      <c r="L4" s="177"/>
      <c r="M4" s="186" t="s">
        <v>1408</v>
      </c>
      <c r="N4" s="187" t="s">
        <v>1409</v>
      </c>
      <c r="O4" s="188" t="s">
        <v>1410</v>
      </c>
      <c r="P4" s="189" t="s">
        <v>1411</v>
      </c>
      <c r="Q4" s="186" t="s">
        <v>1412</v>
      </c>
      <c r="R4" s="187" t="s">
        <v>1413</v>
      </c>
      <c r="S4" s="188" t="s">
        <v>1414</v>
      </c>
      <c r="T4" s="189" t="s">
        <v>1415</v>
      </c>
      <c r="U4" s="188" t="s">
        <v>1416</v>
      </c>
      <c r="V4" s="189" t="s">
        <v>1417</v>
      </c>
      <c r="W4" s="186" t="s">
        <v>1418</v>
      </c>
      <c r="X4" s="187" t="s">
        <v>1419</v>
      </c>
      <c r="Y4" s="177"/>
      <c r="Z4" s="177"/>
      <c r="AA4" s="177"/>
      <c r="AB4" s="177"/>
      <c r="AC4" s="177"/>
    </row>
    <row r="5" ht="22.5" customHeight="1">
      <c r="A5" s="178">
        <v>1.0</v>
      </c>
      <c r="B5" s="190" t="s">
        <v>1420</v>
      </c>
      <c r="C5" s="191">
        <v>1846358.56</v>
      </c>
      <c r="D5" s="192">
        <v>1200000.0</v>
      </c>
      <c r="E5" s="193" t="s">
        <v>1421</v>
      </c>
      <c r="F5" s="194" t="s">
        <v>1422</v>
      </c>
      <c r="G5" s="195"/>
      <c r="H5" s="194" t="s">
        <v>1423</v>
      </c>
      <c r="I5" s="194" t="s">
        <v>1424</v>
      </c>
      <c r="J5" s="193" t="s">
        <v>1425</v>
      </c>
      <c r="K5" s="195" t="s">
        <v>1426</v>
      </c>
      <c r="L5" s="177"/>
      <c r="M5" s="196">
        <v>883201.46</v>
      </c>
      <c r="N5" s="197">
        <v>600000.0</v>
      </c>
      <c r="O5" s="177"/>
      <c r="P5" s="177"/>
      <c r="Q5" s="196">
        <v>963157.1</v>
      </c>
      <c r="R5" s="198">
        <v>600000.0</v>
      </c>
      <c r="S5" s="177"/>
      <c r="T5" s="199"/>
      <c r="U5" s="200"/>
      <c r="V5" s="177"/>
      <c r="W5" s="196">
        <f t="shared" ref="W5:X5" si="1">M5+O5+Q5+S5+U5</f>
        <v>1846358.56</v>
      </c>
      <c r="X5" s="198">
        <f t="shared" si="1"/>
        <v>1200000</v>
      </c>
      <c r="Y5" s="201">
        <f t="shared" ref="Y5:Z5" si="2">C5-W5</f>
        <v>0</v>
      </c>
      <c r="Z5" s="202">
        <f t="shared" si="2"/>
        <v>0</v>
      </c>
      <c r="AA5" s="177"/>
      <c r="AB5" s="177"/>
      <c r="AC5" s="177"/>
    </row>
    <row r="6" ht="22.5" customHeight="1">
      <c r="A6" s="178">
        <v>2.0</v>
      </c>
      <c r="B6" s="190" t="s">
        <v>1427</v>
      </c>
      <c r="C6" s="191">
        <v>2095178.98</v>
      </c>
      <c r="D6" s="191">
        <v>2300000.0</v>
      </c>
      <c r="E6" s="193" t="s">
        <v>1428</v>
      </c>
      <c r="F6" s="194" t="s">
        <v>1429</v>
      </c>
      <c r="G6" s="194" t="s">
        <v>1430</v>
      </c>
      <c r="H6" s="194" t="s">
        <v>1431</v>
      </c>
      <c r="I6" s="194" t="s">
        <v>125</v>
      </c>
      <c r="J6" s="194" t="s">
        <v>1432</v>
      </c>
      <c r="K6" s="203"/>
      <c r="L6" s="177"/>
      <c r="M6" s="200"/>
      <c r="N6" s="199"/>
      <c r="O6" s="177"/>
      <c r="P6" s="177"/>
      <c r="Q6" s="204">
        <f t="shared" ref="Q6:R6" si="3">C6</f>
        <v>2095178.98</v>
      </c>
      <c r="R6" s="205">
        <f t="shared" si="3"/>
        <v>2300000</v>
      </c>
      <c r="S6" s="177"/>
      <c r="T6" s="199"/>
      <c r="U6" s="200"/>
      <c r="V6" s="177"/>
      <c r="W6" s="204">
        <f t="shared" ref="W6:X6" si="4">M6+O6+Q6+S6+U6</f>
        <v>2095178.98</v>
      </c>
      <c r="X6" s="205">
        <f t="shared" si="4"/>
        <v>2300000</v>
      </c>
      <c r="Y6" s="201">
        <f t="shared" ref="Y6:Z6" si="5">C6-W6</f>
        <v>0</v>
      </c>
      <c r="Z6" s="202">
        <f t="shared" si="5"/>
        <v>0</v>
      </c>
      <c r="AA6" s="177"/>
      <c r="AB6" s="177"/>
      <c r="AC6" s="177"/>
    </row>
    <row r="7" ht="22.5" customHeight="1">
      <c r="A7" s="178">
        <v>3.0</v>
      </c>
      <c r="B7" s="190" t="s">
        <v>1433</v>
      </c>
      <c r="C7" s="191">
        <v>1336338.48</v>
      </c>
      <c r="D7" s="206">
        <v>1000000.0</v>
      </c>
      <c r="E7" s="190" t="s">
        <v>1434</v>
      </c>
      <c r="F7" s="190" t="s">
        <v>1435</v>
      </c>
      <c r="G7" s="190" t="s">
        <v>1436</v>
      </c>
      <c r="H7" s="190" t="s">
        <v>1437</v>
      </c>
      <c r="I7" s="190" t="s">
        <v>125</v>
      </c>
      <c r="J7" s="193" t="s">
        <v>461</v>
      </c>
      <c r="K7" s="193" t="s">
        <v>1438</v>
      </c>
      <c r="L7" s="177"/>
      <c r="M7" s="200"/>
      <c r="N7" s="199"/>
      <c r="O7" s="177"/>
      <c r="P7" s="177"/>
      <c r="Q7" s="204">
        <f t="shared" ref="Q7:R7" si="6">C7</f>
        <v>1336338.48</v>
      </c>
      <c r="R7" s="205">
        <f t="shared" si="6"/>
        <v>1000000</v>
      </c>
      <c r="S7" s="177"/>
      <c r="T7" s="199"/>
      <c r="U7" s="200"/>
      <c r="V7" s="177"/>
      <c r="W7" s="204">
        <f t="shared" ref="W7:X7" si="7">M7+O7+Q7+S7+U7</f>
        <v>1336338.48</v>
      </c>
      <c r="X7" s="205">
        <f t="shared" si="7"/>
        <v>1000000</v>
      </c>
      <c r="Y7" s="201">
        <f t="shared" ref="Y7:Z7" si="8">C7-W7</f>
        <v>0</v>
      </c>
      <c r="Z7" s="202">
        <f t="shared" si="8"/>
        <v>0</v>
      </c>
      <c r="AA7" s="177"/>
      <c r="AB7" s="177"/>
      <c r="AC7" s="177"/>
    </row>
    <row r="8" ht="22.5" customHeight="1">
      <c r="A8" s="178">
        <v>4.0</v>
      </c>
      <c r="B8" s="207" t="s">
        <v>1439</v>
      </c>
      <c r="C8" s="208">
        <v>797569.9</v>
      </c>
      <c r="D8" s="209">
        <v>500000.0</v>
      </c>
      <c r="E8" s="210" t="s">
        <v>1440</v>
      </c>
      <c r="F8" s="211"/>
      <c r="G8" s="211"/>
      <c r="H8" s="211"/>
      <c r="I8" s="210" t="s">
        <v>1441</v>
      </c>
      <c r="J8" s="210" t="s">
        <v>1442</v>
      </c>
      <c r="K8" s="210" t="s">
        <v>1443</v>
      </c>
      <c r="L8" s="177"/>
      <c r="M8" s="200"/>
      <c r="N8" s="199"/>
      <c r="O8" s="177"/>
      <c r="P8" s="177"/>
      <c r="Q8" s="200"/>
      <c r="R8" s="199"/>
      <c r="S8" s="177"/>
      <c r="T8" s="199"/>
      <c r="U8" s="204">
        <f t="shared" ref="U8:V8" si="9">C8</f>
        <v>797569.9</v>
      </c>
      <c r="V8" s="212">
        <f t="shared" si="9"/>
        <v>500000</v>
      </c>
      <c r="W8" s="204">
        <f t="shared" ref="W8:X8" si="10">M8+O8+Q8+S8+U8</f>
        <v>797569.9</v>
      </c>
      <c r="X8" s="205">
        <f t="shared" si="10"/>
        <v>500000</v>
      </c>
      <c r="Y8" s="201">
        <f t="shared" ref="Y8:Z8" si="11">C8-W8</f>
        <v>0</v>
      </c>
      <c r="Z8" s="202">
        <f t="shared" si="11"/>
        <v>0</v>
      </c>
      <c r="AA8" s="177"/>
      <c r="AB8" s="177"/>
      <c r="AC8" s="177"/>
    </row>
    <row r="9" ht="22.5" customHeight="1">
      <c r="A9" s="178">
        <v>5.0</v>
      </c>
      <c r="B9" s="207" t="s">
        <v>1444</v>
      </c>
      <c r="C9" s="208">
        <v>2767707.87</v>
      </c>
      <c r="D9" s="208">
        <v>1121265.0</v>
      </c>
      <c r="E9" s="213" t="s">
        <v>1445</v>
      </c>
      <c r="F9" s="211"/>
      <c r="G9" s="211"/>
      <c r="H9" s="211"/>
      <c r="I9" s="210" t="s">
        <v>361</v>
      </c>
      <c r="J9" s="210" t="s">
        <v>1446</v>
      </c>
      <c r="K9" s="211"/>
      <c r="L9" s="177"/>
      <c r="M9" s="204">
        <f t="shared" ref="M9:N9" si="12">C9</f>
        <v>2767707.87</v>
      </c>
      <c r="N9" s="205">
        <f t="shared" si="12"/>
        <v>1121265</v>
      </c>
      <c r="O9" s="177"/>
      <c r="P9" s="177"/>
      <c r="Q9" s="200"/>
      <c r="R9" s="199"/>
      <c r="S9" s="177"/>
      <c r="T9" s="199"/>
      <c r="U9" s="200"/>
      <c r="V9" s="177"/>
      <c r="W9" s="204">
        <f t="shared" ref="W9:X9" si="13">M9+O9+Q9+S9+U9</f>
        <v>2767707.87</v>
      </c>
      <c r="X9" s="205">
        <f t="shared" si="13"/>
        <v>1121265</v>
      </c>
      <c r="Y9" s="201">
        <f t="shared" ref="Y9:Z9" si="14">C9-W9</f>
        <v>0</v>
      </c>
      <c r="Z9" s="202">
        <f t="shared" si="14"/>
        <v>0</v>
      </c>
      <c r="AA9" s="177"/>
      <c r="AB9" s="177"/>
      <c r="AC9" s="177"/>
    </row>
    <row r="10" ht="22.5" customHeight="1">
      <c r="A10" s="178">
        <v>6.0</v>
      </c>
      <c r="B10" s="207" t="s">
        <v>812</v>
      </c>
      <c r="C10" s="208">
        <v>1996805.6</v>
      </c>
      <c r="D10" s="208">
        <v>1470000.0</v>
      </c>
      <c r="E10" s="213" t="s">
        <v>1447</v>
      </c>
      <c r="F10" s="213" t="s">
        <v>1448</v>
      </c>
      <c r="G10" s="213"/>
      <c r="H10" s="211"/>
      <c r="I10" s="210" t="s">
        <v>361</v>
      </c>
      <c r="J10" s="211"/>
      <c r="K10" s="211"/>
      <c r="L10" s="177"/>
      <c r="M10" s="204">
        <f t="shared" ref="M10:N10" si="15">C10</f>
        <v>1996805.6</v>
      </c>
      <c r="N10" s="205">
        <f t="shared" si="15"/>
        <v>1470000</v>
      </c>
      <c r="O10" s="177"/>
      <c r="P10" s="177"/>
      <c r="Q10" s="200"/>
      <c r="R10" s="199"/>
      <c r="S10" s="177"/>
      <c r="T10" s="199"/>
      <c r="U10" s="200"/>
      <c r="V10" s="177"/>
      <c r="W10" s="204">
        <f t="shared" ref="W10:X10" si="16">M10+O10+Q10+S10+U10</f>
        <v>1996805.6</v>
      </c>
      <c r="X10" s="205">
        <f t="shared" si="16"/>
        <v>1470000</v>
      </c>
      <c r="Y10" s="201">
        <f t="shared" ref="Y10:Z10" si="17">C10-W10</f>
        <v>0</v>
      </c>
      <c r="Z10" s="202">
        <f t="shared" si="17"/>
        <v>0</v>
      </c>
      <c r="AA10" s="177"/>
      <c r="AB10" s="177"/>
      <c r="AC10" s="177"/>
    </row>
    <row r="11" ht="22.5" customHeight="1">
      <c r="A11" s="178">
        <v>7.0</v>
      </c>
      <c r="B11" s="190" t="s">
        <v>1449</v>
      </c>
      <c r="C11" s="191">
        <v>1606837.5</v>
      </c>
      <c r="D11" s="191">
        <v>1300000.0</v>
      </c>
      <c r="E11" s="193" t="s">
        <v>1450</v>
      </c>
      <c r="F11" s="203"/>
      <c r="G11" s="203"/>
      <c r="H11" s="203"/>
      <c r="I11" s="195" t="s">
        <v>361</v>
      </c>
      <c r="J11" s="203"/>
      <c r="K11" s="203"/>
      <c r="L11" s="177"/>
      <c r="M11" s="204">
        <f t="shared" ref="M11:N11" si="18">C11</f>
        <v>1606837.5</v>
      </c>
      <c r="N11" s="205">
        <f t="shared" si="18"/>
        <v>1300000</v>
      </c>
      <c r="O11" s="177"/>
      <c r="P11" s="177"/>
      <c r="Q11" s="200"/>
      <c r="R11" s="199"/>
      <c r="S11" s="177"/>
      <c r="T11" s="199"/>
      <c r="U11" s="200"/>
      <c r="V11" s="177"/>
      <c r="W11" s="204">
        <f t="shared" ref="W11:X11" si="19">M11+O11+Q11+S11+U11</f>
        <v>1606837.5</v>
      </c>
      <c r="X11" s="205">
        <f t="shared" si="19"/>
        <v>1300000</v>
      </c>
      <c r="Y11" s="201">
        <f t="shared" ref="Y11:Z11" si="20">C11-W11</f>
        <v>0</v>
      </c>
      <c r="Z11" s="202">
        <f t="shared" si="20"/>
        <v>0</v>
      </c>
      <c r="AA11" s="177"/>
      <c r="AB11" s="177"/>
      <c r="AC11" s="177"/>
    </row>
    <row r="12" ht="22.5" customHeight="1">
      <c r="A12" s="178">
        <v>8.0</v>
      </c>
      <c r="B12" s="190" t="s">
        <v>1451</v>
      </c>
      <c r="C12" s="191">
        <v>804663.2</v>
      </c>
      <c r="D12" s="214">
        <v>0.0</v>
      </c>
      <c r="E12" s="194" t="s">
        <v>1452</v>
      </c>
      <c r="F12" s="203"/>
      <c r="G12" s="203"/>
      <c r="H12" s="203"/>
      <c r="I12" s="195" t="s">
        <v>361</v>
      </c>
      <c r="J12" s="203"/>
      <c r="K12" s="203"/>
      <c r="L12" s="177"/>
      <c r="M12" s="204">
        <f t="shared" ref="M12:N12" si="21">C12</f>
        <v>804663.2</v>
      </c>
      <c r="N12" s="205">
        <f t="shared" si="21"/>
        <v>0</v>
      </c>
      <c r="O12" s="177"/>
      <c r="P12" s="177"/>
      <c r="Q12" s="200"/>
      <c r="R12" s="199"/>
      <c r="S12" s="177"/>
      <c r="T12" s="199"/>
      <c r="U12" s="200"/>
      <c r="V12" s="177"/>
      <c r="W12" s="204">
        <f t="shared" ref="W12:X12" si="22">M12+O12+Q12+S12+U12</f>
        <v>804663.2</v>
      </c>
      <c r="X12" s="205">
        <f t="shared" si="22"/>
        <v>0</v>
      </c>
      <c r="Y12" s="201">
        <f t="shared" ref="Y12:Z12" si="23">C12-W12</f>
        <v>0</v>
      </c>
      <c r="Z12" s="202">
        <f t="shared" si="23"/>
        <v>0</v>
      </c>
      <c r="AA12" s="177"/>
      <c r="AB12" s="177"/>
      <c r="AC12" s="177"/>
    </row>
    <row r="13" ht="22.5" customHeight="1">
      <c r="A13" s="178">
        <v>9.0</v>
      </c>
      <c r="B13" s="207" t="s">
        <v>1453</v>
      </c>
      <c r="C13" s="208">
        <v>1249729.0</v>
      </c>
      <c r="D13" s="209">
        <v>1200000.0</v>
      </c>
      <c r="E13" s="215" t="s">
        <v>1454</v>
      </c>
      <c r="F13" s="210" t="s">
        <v>1455</v>
      </c>
      <c r="G13" s="211"/>
      <c r="H13" s="211"/>
      <c r="I13" s="213" t="s">
        <v>418</v>
      </c>
      <c r="J13" s="210" t="s">
        <v>1456</v>
      </c>
      <c r="K13" s="211"/>
      <c r="L13" s="177"/>
      <c r="M13" s="200"/>
      <c r="N13" s="199"/>
      <c r="O13" s="177"/>
      <c r="P13" s="177"/>
      <c r="Q13" s="200"/>
      <c r="R13" s="199"/>
      <c r="S13" s="212">
        <f t="shared" ref="S13:T13" si="24">C13</f>
        <v>1249729</v>
      </c>
      <c r="T13" s="205">
        <f t="shared" si="24"/>
        <v>1200000</v>
      </c>
      <c r="U13" s="200"/>
      <c r="V13" s="177"/>
      <c r="W13" s="204">
        <f t="shared" ref="W13:X13" si="25">M13+O13+Q13+S13+U13</f>
        <v>1249729</v>
      </c>
      <c r="X13" s="205">
        <f t="shared" si="25"/>
        <v>1200000</v>
      </c>
      <c r="Y13" s="201">
        <f t="shared" ref="Y13:Z13" si="26">C13-W13</f>
        <v>0</v>
      </c>
      <c r="Z13" s="202">
        <f t="shared" si="26"/>
        <v>0</v>
      </c>
      <c r="AA13" s="177"/>
      <c r="AB13" s="177"/>
      <c r="AC13" s="177"/>
    </row>
    <row r="14" ht="22.5" customHeight="1">
      <c r="A14" s="178">
        <v>10.0</v>
      </c>
      <c r="B14" s="190" t="s">
        <v>415</v>
      </c>
      <c r="C14" s="191">
        <v>1219597.88</v>
      </c>
      <c r="D14" s="216">
        <v>0.0</v>
      </c>
      <c r="E14" s="193" t="s">
        <v>1457</v>
      </c>
      <c r="F14" s="195"/>
      <c r="G14" s="203"/>
      <c r="H14" s="203"/>
      <c r="I14" s="194" t="s">
        <v>418</v>
      </c>
      <c r="J14" s="203"/>
      <c r="K14" s="203"/>
      <c r="L14" s="177"/>
      <c r="M14" s="200"/>
      <c r="N14" s="199"/>
      <c r="O14" s="177"/>
      <c r="P14" s="177"/>
      <c r="Q14" s="200"/>
      <c r="R14" s="199"/>
      <c r="S14" s="212">
        <f t="shared" ref="S14:T14" si="27">C14</f>
        <v>1219597.88</v>
      </c>
      <c r="T14" s="205">
        <f t="shared" si="27"/>
        <v>0</v>
      </c>
      <c r="U14" s="200"/>
      <c r="V14" s="177"/>
      <c r="W14" s="204">
        <f t="shared" ref="W14:X14" si="28">M14+O14+Q14+S14+U14</f>
        <v>1219597.88</v>
      </c>
      <c r="X14" s="205">
        <f t="shared" si="28"/>
        <v>0</v>
      </c>
      <c r="Y14" s="201">
        <f t="shared" ref="Y14:Z14" si="29">C14-W14</f>
        <v>0</v>
      </c>
      <c r="Z14" s="202">
        <f t="shared" si="29"/>
        <v>0</v>
      </c>
      <c r="AA14" s="177"/>
      <c r="AB14" s="177"/>
      <c r="AC14" s="177"/>
    </row>
    <row r="15" ht="87.0" customHeight="1">
      <c r="A15" s="178">
        <v>11.0</v>
      </c>
      <c r="B15" s="207" t="s">
        <v>1458</v>
      </c>
      <c r="C15" s="208">
        <v>1171550.0</v>
      </c>
      <c r="D15" s="209">
        <v>1000000.0</v>
      </c>
      <c r="E15" s="211"/>
      <c r="F15" s="211"/>
      <c r="G15" s="211"/>
      <c r="H15" s="211"/>
      <c r="I15" s="213" t="s">
        <v>418</v>
      </c>
      <c r="J15" s="211"/>
      <c r="K15" s="211"/>
      <c r="L15" s="177"/>
      <c r="M15" s="200"/>
      <c r="N15" s="199"/>
      <c r="O15" s="177"/>
      <c r="P15" s="177"/>
      <c r="Q15" s="200"/>
      <c r="R15" s="199"/>
      <c r="S15" s="212">
        <f t="shared" ref="S15:T15" si="30">C15</f>
        <v>1171550</v>
      </c>
      <c r="T15" s="205">
        <f t="shared" si="30"/>
        <v>1000000</v>
      </c>
      <c r="U15" s="200"/>
      <c r="V15" s="177"/>
      <c r="W15" s="204">
        <f t="shared" ref="W15:X15" si="31">M15+O15+Q15+S15+U15</f>
        <v>1171550</v>
      </c>
      <c r="X15" s="205">
        <f t="shared" si="31"/>
        <v>1000000</v>
      </c>
      <c r="Y15" s="201">
        <f t="shared" ref="Y15:Z15" si="32">C15-W15</f>
        <v>0</v>
      </c>
      <c r="Z15" s="202">
        <f t="shared" si="32"/>
        <v>0</v>
      </c>
      <c r="AA15" s="177"/>
      <c r="AB15" s="177"/>
      <c r="AC15" s="177"/>
    </row>
    <row r="16" ht="61.5" customHeight="1">
      <c r="A16" s="178">
        <v>12.0</v>
      </c>
      <c r="B16" s="207" t="s">
        <v>1459</v>
      </c>
      <c r="C16" s="208">
        <v>8084306.38</v>
      </c>
      <c r="D16" s="208">
        <v>6574626.0</v>
      </c>
      <c r="E16" s="215" t="s">
        <v>1460</v>
      </c>
      <c r="F16" s="210"/>
      <c r="G16" s="211"/>
      <c r="H16" s="211"/>
      <c r="I16" s="213" t="s">
        <v>367</v>
      </c>
      <c r="J16" s="213" t="s">
        <v>1461</v>
      </c>
      <c r="K16" s="211"/>
      <c r="L16" s="177"/>
      <c r="M16" s="200"/>
      <c r="N16" s="199"/>
      <c r="O16" s="212">
        <f t="shared" ref="O16:P16" si="33">C16</f>
        <v>8084306.38</v>
      </c>
      <c r="P16" s="212">
        <f t="shared" si="33"/>
        <v>6574626</v>
      </c>
      <c r="Q16" s="200"/>
      <c r="R16" s="199"/>
      <c r="S16" s="177"/>
      <c r="T16" s="199"/>
      <c r="U16" s="200"/>
      <c r="V16" s="177"/>
      <c r="W16" s="204">
        <f t="shared" ref="W16:X16" si="34">M16+O16+Q16+S16+U16</f>
        <v>8084306.38</v>
      </c>
      <c r="X16" s="205">
        <f t="shared" si="34"/>
        <v>6574626</v>
      </c>
      <c r="Y16" s="201">
        <f t="shared" ref="Y16:Z16" si="35">C16-W16</f>
        <v>0</v>
      </c>
      <c r="Z16" s="202">
        <f t="shared" si="35"/>
        <v>0</v>
      </c>
      <c r="AA16" s="177"/>
      <c r="AB16" s="177"/>
      <c r="AC16" s="177"/>
    </row>
    <row r="17" ht="22.5" customHeight="1">
      <c r="A17" s="178">
        <v>13.0</v>
      </c>
      <c r="B17" s="190" t="s">
        <v>1462</v>
      </c>
      <c r="C17" s="191">
        <v>2844962.01</v>
      </c>
      <c r="D17" s="191">
        <v>1479794.03</v>
      </c>
      <c r="E17" s="193" t="s">
        <v>1463</v>
      </c>
      <c r="F17" s="194" t="s">
        <v>1464</v>
      </c>
      <c r="G17" s="203"/>
      <c r="H17" s="203"/>
      <c r="I17" s="194" t="s">
        <v>367</v>
      </c>
      <c r="J17" s="194" t="s">
        <v>1465</v>
      </c>
      <c r="K17" s="203"/>
      <c r="L17" s="177"/>
      <c r="M17" s="200"/>
      <c r="N17" s="199"/>
      <c r="O17" s="212">
        <f t="shared" ref="O17:P17" si="36">C17</f>
        <v>2844962.01</v>
      </c>
      <c r="P17" s="212">
        <f t="shared" si="36"/>
        <v>1479794.03</v>
      </c>
      <c r="Q17" s="200"/>
      <c r="R17" s="199"/>
      <c r="S17" s="177"/>
      <c r="T17" s="199"/>
      <c r="U17" s="200"/>
      <c r="V17" s="177"/>
      <c r="W17" s="204">
        <f t="shared" ref="W17:X17" si="37">M17+O17+Q17+S17+U17</f>
        <v>2844962.01</v>
      </c>
      <c r="X17" s="205">
        <f t="shared" si="37"/>
        <v>1479794.03</v>
      </c>
      <c r="Y17" s="201">
        <f t="shared" ref="Y17:Z17" si="38">C17-W17</f>
        <v>0</v>
      </c>
      <c r="Z17" s="202">
        <f t="shared" si="38"/>
        <v>0</v>
      </c>
      <c r="AA17" s="177"/>
      <c r="AB17" s="177"/>
      <c r="AC17" s="177"/>
    </row>
    <row r="18" ht="22.5" customHeight="1">
      <c r="A18" s="178">
        <v>14.0</v>
      </c>
      <c r="B18" s="207" t="s">
        <v>1022</v>
      </c>
      <c r="C18" s="208">
        <v>1627859.36</v>
      </c>
      <c r="D18" s="208">
        <v>300000.0</v>
      </c>
      <c r="E18" s="215" t="s">
        <v>1466</v>
      </c>
      <c r="F18" s="211"/>
      <c r="G18" s="211"/>
      <c r="H18" s="211"/>
      <c r="I18" s="213" t="s">
        <v>367</v>
      </c>
      <c r="J18" s="211"/>
      <c r="K18" s="211"/>
      <c r="L18" s="177"/>
      <c r="M18" s="200"/>
      <c r="N18" s="199"/>
      <c r="O18" s="212">
        <f t="shared" ref="O18:P18" si="39">C18</f>
        <v>1627859.36</v>
      </c>
      <c r="P18" s="212">
        <f t="shared" si="39"/>
        <v>300000</v>
      </c>
      <c r="Q18" s="200"/>
      <c r="R18" s="199"/>
      <c r="S18" s="177"/>
      <c r="T18" s="199"/>
      <c r="U18" s="200"/>
      <c r="V18" s="177"/>
      <c r="W18" s="204">
        <f t="shared" ref="W18:X18" si="40">M18+O18+Q18+S18+U18</f>
        <v>1627859.36</v>
      </c>
      <c r="X18" s="205">
        <f t="shared" si="40"/>
        <v>300000</v>
      </c>
      <c r="Y18" s="201">
        <f t="shared" ref="Y18:Z18" si="41">C18-W18</f>
        <v>0</v>
      </c>
      <c r="Z18" s="202">
        <f t="shared" si="41"/>
        <v>0</v>
      </c>
      <c r="AA18" s="177"/>
      <c r="AB18" s="177"/>
      <c r="AC18" s="177"/>
    </row>
    <row r="19" ht="22.5" customHeight="1">
      <c r="A19" s="178">
        <v>15.0</v>
      </c>
      <c r="B19" s="207" t="s">
        <v>1018</v>
      </c>
      <c r="C19" s="208">
        <v>1367363.5</v>
      </c>
      <c r="D19" s="209">
        <v>1000000.0</v>
      </c>
      <c r="E19" s="210" t="s">
        <v>1467</v>
      </c>
      <c r="F19" s="211"/>
      <c r="G19" s="211"/>
      <c r="H19" s="211"/>
      <c r="I19" s="210" t="s">
        <v>367</v>
      </c>
      <c r="J19" s="211"/>
      <c r="K19" s="211"/>
      <c r="L19" s="177"/>
      <c r="M19" s="217"/>
      <c r="N19" s="218"/>
      <c r="O19" s="212">
        <f t="shared" ref="O19:P19" si="42">C19</f>
        <v>1367363.5</v>
      </c>
      <c r="P19" s="212">
        <f t="shared" si="42"/>
        <v>1000000</v>
      </c>
      <c r="Q19" s="217"/>
      <c r="R19" s="218"/>
      <c r="S19" s="177"/>
      <c r="T19" s="199"/>
      <c r="U19" s="200"/>
      <c r="V19" s="177"/>
      <c r="W19" s="219">
        <f t="shared" ref="W19:X19" si="43">M19+O19+Q19+S19+U19</f>
        <v>1367363.5</v>
      </c>
      <c r="X19" s="220">
        <f t="shared" si="43"/>
        <v>1000000</v>
      </c>
      <c r="Y19" s="201">
        <f t="shared" ref="Y19:Z19" si="44">C19-W19</f>
        <v>0</v>
      </c>
      <c r="Z19" s="202">
        <f t="shared" si="44"/>
        <v>0</v>
      </c>
      <c r="AA19" s="177"/>
      <c r="AB19" s="177"/>
      <c r="AC19" s="177"/>
    </row>
    <row r="20" ht="22.5" customHeight="1">
      <c r="A20" s="177"/>
      <c r="B20" s="221" t="s">
        <v>1468</v>
      </c>
      <c r="C20" s="222">
        <f t="shared" ref="C20:D20" si="45">SUM(C5:C19)</f>
        <v>30816828.22</v>
      </c>
      <c r="D20" s="222">
        <f t="shared" si="45"/>
        <v>20445685.03</v>
      </c>
      <c r="E20" s="203"/>
      <c r="F20" s="203"/>
      <c r="G20" s="203"/>
      <c r="H20" s="203"/>
      <c r="I20" s="203"/>
      <c r="J20" s="203"/>
      <c r="K20" s="203"/>
      <c r="L20" s="177"/>
      <c r="M20" s="223">
        <f t="shared" ref="M20:X20" si="46">SUM(M5:M19)</f>
        <v>8059215.63</v>
      </c>
      <c r="N20" s="223">
        <f t="shared" si="46"/>
        <v>4491265</v>
      </c>
      <c r="O20" s="224">
        <f t="shared" si="46"/>
        <v>13924491.25</v>
      </c>
      <c r="P20" s="224">
        <f t="shared" si="46"/>
        <v>9354420.03</v>
      </c>
      <c r="Q20" s="223">
        <f t="shared" si="46"/>
        <v>4394674.56</v>
      </c>
      <c r="R20" s="223">
        <f t="shared" si="46"/>
        <v>3900000</v>
      </c>
      <c r="S20" s="224">
        <f t="shared" si="46"/>
        <v>3640876.88</v>
      </c>
      <c r="T20" s="224">
        <f t="shared" si="46"/>
        <v>2200000</v>
      </c>
      <c r="U20" s="224">
        <f t="shared" si="46"/>
        <v>797569.9</v>
      </c>
      <c r="V20" s="224">
        <f t="shared" si="46"/>
        <v>500000</v>
      </c>
      <c r="W20" s="223">
        <f t="shared" si="46"/>
        <v>30816828.22</v>
      </c>
      <c r="X20" s="223">
        <f t="shared" si="46"/>
        <v>20445685.03</v>
      </c>
      <c r="Y20" s="225">
        <f t="shared" ref="Y20:Z20" si="47">C20-W20</f>
        <v>0</v>
      </c>
      <c r="Z20" s="226">
        <f t="shared" si="47"/>
        <v>0</v>
      </c>
      <c r="AA20" s="227" t="s">
        <v>1469</v>
      </c>
      <c r="AB20" s="177"/>
      <c r="AC20" s="177"/>
    </row>
    <row r="21" ht="22.5" customHeight="1">
      <c r="A21" s="177"/>
      <c r="B21" s="228" t="s">
        <v>1470</v>
      </c>
      <c r="C21" s="222">
        <f>C20/15</f>
        <v>2054455.215</v>
      </c>
      <c r="D21" s="222">
        <f>D20/14</f>
        <v>1460406.074</v>
      </c>
      <c r="E21" s="229"/>
      <c r="F21" s="229"/>
      <c r="G21" s="229"/>
      <c r="H21" s="229"/>
      <c r="I21" s="229"/>
      <c r="J21" s="229"/>
      <c r="K21" s="229"/>
      <c r="L21" s="177"/>
      <c r="M21" s="230"/>
      <c r="N21" s="231">
        <f>N20/M20</f>
        <v>0.557283141</v>
      </c>
      <c r="O21" s="230"/>
      <c r="P21" s="231">
        <f>P20/O20</f>
        <v>0.67179618</v>
      </c>
      <c r="Q21" s="230"/>
      <c r="R21" s="231">
        <f>R20/Q20</f>
        <v>0.8874377264</v>
      </c>
      <c r="S21" s="230"/>
      <c r="T21" s="231">
        <f>T20/S20</f>
        <v>0.6042500399</v>
      </c>
      <c r="U21" s="230"/>
      <c r="V21" s="231">
        <f>V20/U20</f>
        <v>0.6269043002</v>
      </c>
      <c r="W21" s="232"/>
      <c r="X21" s="233">
        <f>X20/W20</f>
        <v>0.6634584482</v>
      </c>
      <c r="Y21" s="234"/>
      <c r="Z21" s="234"/>
      <c r="AA21" s="234"/>
      <c r="AB21" s="177"/>
      <c r="AC21" s="177"/>
    </row>
    <row r="22">
      <c r="A22" s="177"/>
      <c r="B22" s="181"/>
      <c r="C22" s="181"/>
      <c r="D22" s="181"/>
      <c r="E22" s="181"/>
      <c r="F22" s="181"/>
      <c r="G22" s="181"/>
      <c r="H22" s="181"/>
      <c r="I22" s="181"/>
      <c r="J22" s="181"/>
      <c r="K22" s="181"/>
      <c r="L22" s="235" t="s">
        <v>1471</v>
      </c>
      <c r="M22" s="236">
        <v>5000000.0</v>
      </c>
      <c r="N22" s="237">
        <f>N20</f>
        <v>4491265</v>
      </c>
      <c r="O22" s="236">
        <v>1.0E7</v>
      </c>
      <c r="P22" s="237">
        <f>P20</f>
        <v>9354420.03</v>
      </c>
      <c r="Q22" s="236">
        <v>3300000.0</v>
      </c>
      <c r="R22" s="237">
        <f>R20</f>
        <v>3900000</v>
      </c>
      <c r="S22" s="236">
        <v>3200000.0</v>
      </c>
      <c r="T22" s="237">
        <f>T20</f>
        <v>2200000</v>
      </c>
      <c r="U22" s="236">
        <v>500000.0</v>
      </c>
      <c r="V22" s="237">
        <f>V20</f>
        <v>500000</v>
      </c>
      <c r="W22" s="238">
        <f t="shared" ref="W22:X22" si="48">M22+O22+Q22+S22+U22</f>
        <v>22000000</v>
      </c>
      <c r="X22" s="237">
        <f t="shared" si="48"/>
        <v>20445685.03</v>
      </c>
      <c r="Y22" s="239"/>
      <c r="Z22" s="239"/>
      <c r="AA22" s="239"/>
      <c r="AB22" s="177"/>
      <c r="AC22" s="177"/>
    </row>
    <row r="23">
      <c r="A23" s="177"/>
      <c r="B23" s="181"/>
      <c r="C23" s="181"/>
      <c r="D23" s="181"/>
      <c r="E23" s="181"/>
      <c r="F23" s="181"/>
      <c r="G23" s="181"/>
      <c r="H23" s="181"/>
      <c r="I23" s="181"/>
      <c r="J23" s="181"/>
      <c r="K23" s="181"/>
      <c r="L23" s="177"/>
      <c r="M23" s="240"/>
      <c r="N23" s="241">
        <f>N22/M22</f>
        <v>0.898253</v>
      </c>
      <c r="O23" s="240"/>
      <c r="P23" s="241">
        <f>P22/O22</f>
        <v>0.935442003</v>
      </c>
      <c r="Q23" s="240"/>
      <c r="R23" s="241">
        <f>R22/Q22</f>
        <v>1.181818182</v>
      </c>
      <c r="S23" s="240"/>
      <c r="T23" s="241">
        <f>T22/S22</f>
        <v>0.6875</v>
      </c>
      <c r="U23" s="240"/>
      <c r="V23" s="241">
        <f>V22/U22</f>
        <v>1</v>
      </c>
      <c r="W23" s="242"/>
      <c r="X23" s="243">
        <f>X22/W22</f>
        <v>0.9293493195</v>
      </c>
      <c r="Y23" s="244"/>
      <c r="Z23" s="244"/>
      <c r="AA23" s="244"/>
      <c r="AB23" s="177"/>
      <c r="AC23" s="177"/>
    </row>
    <row r="24">
      <c r="A24" s="177"/>
      <c r="B24" s="181"/>
      <c r="C24" s="181"/>
      <c r="D24" s="181"/>
      <c r="E24" s="181"/>
      <c r="F24" s="181"/>
      <c r="G24" s="181"/>
      <c r="H24" s="181"/>
      <c r="I24" s="181"/>
      <c r="J24" s="181"/>
      <c r="K24" s="181"/>
      <c r="L24" s="177"/>
      <c r="M24" s="245" t="s">
        <v>1472</v>
      </c>
      <c r="N24" s="246"/>
      <c r="O24" s="246"/>
      <c r="P24" s="246"/>
      <c r="Q24" s="246"/>
      <c r="R24" s="246"/>
      <c r="S24" s="246"/>
      <c r="T24" s="246"/>
      <c r="U24" s="246"/>
      <c r="V24" s="246"/>
      <c r="W24" s="246"/>
      <c r="X24" s="247"/>
      <c r="Y24" s="248"/>
      <c r="Z24" s="248"/>
      <c r="AA24" s="248"/>
      <c r="AB24" s="177"/>
      <c r="AC24" s="177"/>
    </row>
    <row r="25" ht="22.5" customHeight="1">
      <c r="A25" s="177"/>
      <c r="B25" s="249" t="s">
        <v>4</v>
      </c>
      <c r="C25" s="250" t="s">
        <v>1400</v>
      </c>
      <c r="D25" s="250" t="s">
        <v>1473</v>
      </c>
      <c r="E25" s="250" t="s">
        <v>1402</v>
      </c>
      <c r="F25" s="250" t="s">
        <v>1403</v>
      </c>
      <c r="G25" s="250" t="s">
        <v>1404</v>
      </c>
      <c r="H25" s="250" t="s">
        <v>1405</v>
      </c>
      <c r="I25" s="250" t="s">
        <v>1406</v>
      </c>
      <c r="J25" s="250" t="s">
        <v>1407</v>
      </c>
      <c r="K25" s="251" t="s">
        <v>326</v>
      </c>
      <c r="L25" s="177"/>
      <c r="M25" s="186" t="s">
        <v>1408</v>
      </c>
      <c r="N25" s="187" t="s">
        <v>1409</v>
      </c>
      <c r="O25" s="186" t="s">
        <v>1410</v>
      </c>
      <c r="P25" s="187" t="s">
        <v>1411</v>
      </c>
      <c r="Q25" s="186" t="s">
        <v>1412</v>
      </c>
      <c r="R25" s="187" t="s">
        <v>1413</v>
      </c>
      <c r="S25" s="186" t="s">
        <v>1414</v>
      </c>
      <c r="T25" s="187" t="s">
        <v>1415</v>
      </c>
      <c r="U25" s="186" t="s">
        <v>1416</v>
      </c>
      <c r="V25" s="187" t="s">
        <v>1417</v>
      </c>
      <c r="W25" s="186" t="s">
        <v>1418</v>
      </c>
      <c r="X25" s="187" t="s">
        <v>1419</v>
      </c>
      <c r="Y25" s="177"/>
      <c r="Z25" s="177"/>
      <c r="AA25" s="177"/>
      <c r="AB25" s="177"/>
      <c r="AC25" s="177"/>
    </row>
    <row r="26" ht="22.5" customHeight="1">
      <c r="A26" s="178">
        <v>1.0</v>
      </c>
      <c r="B26" s="207" t="s">
        <v>1474</v>
      </c>
      <c r="C26" s="252">
        <v>596160.0</v>
      </c>
      <c r="D26" s="208">
        <v>582000.0</v>
      </c>
      <c r="E26" s="213" t="s">
        <v>1475</v>
      </c>
      <c r="F26" s="207" t="s">
        <v>1476</v>
      </c>
      <c r="G26" s="207" t="s">
        <v>1477</v>
      </c>
      <c r="H26" s="207" t="s">
        <v>1478</v>
      </c>
      <c r="I26" s="207" t="s">
        <v>361</v>
      </c>
      <c r="J26" s="207" t="s">
        <v>1479</v>
      </c>
      <c r="K26" s="211"/>
      <c r="L26" s="177"/>
      <c r="M26" s="196">
        <f t="shared" ref="M26:N26" si="49">C26</f>
        <v>596160</v>
      </c>
      <c r="N26" s="198">
        <f t="shared" si="49"/>
        <v>582000</v>
      </c>
      <c r="O26" s="253"/>
      <c r="P26" s="254"/>
      <c r="Q26" s="253"/>
      <c r="R26" s="253"/>
      <c r="S26" s="255"/>
      <c r="T26" s="253"/>
      <c r="U26" s="255"/>
      <c r="V26" s="254"/>
      <c r="W26" s="256">
        <f t="shared" ref="W26:X26" si="50">M26+O26+Q26+S26+U26</f>
        <v>596160</v>
      </c>
      <c r="X26" s="198">
        <f t="shared" si="50"/>
        <v>582000</v>
      </c>
      <c r="Y26" s="201">
        <f t="shared" ref="Y26:Z26" si="51">C26-W26</f>
        <v>0</v>
      </c>
      <c r="Z26" s="202">
        <f t="shared" si="51"/>
        <v>0</v>
      </c>
      <c r="AA26" s="177"/>
      <c r="AB26" s="177"/>
      <c r="AC26" s="177"/>
    </row>
    <row r="27" ht="22.5" customHeight="1">
      <c r="A27" s="178">
        <v>2.0</v>
      </c>
      <c r="B27" s="257" t="s">
        <v>1480</v>
      </c>
      <c r="C27" s="258">
        <v>307364.72</v>
      </c>
      <c r="D27" s="259">
        <v>0.0</v>
      </c>
      <c r="E27" s="260" t="s">
        <v>1481</v>
      </c>
      <c r="F27" s="261"/>
      <c r="G27" s="261"/>
      <c r="H27" s="261"/>
      <c r="I27" s="257" t="s">
        <v>367</v>
      </c>
      <c r="J27" s="195" t="s">
        <v>1482</v>
      </c>
      <c r="K27" s="203"/>
      <c r="L27" s="177"/>
      <c r="M27" s="200"/>
      <c r="N27" s="199"/>
      <c r="O27" s="212">
        <f t="shared" ref="O27:P27" si="52">C27</f>
        <v>307364.72</v>
      </c>
      <c r="P27" s="205">
        <f t="shared" si="52"/>
        <v>0</v>
      </c>
      <c r="Q27" s="177"/>
      <c r="R27" s="177"/>
      <c r="S27" s="200"/>
      <c r="T27" s="177"/>
      <c r="U27" s="200"/>
      <c r="V27" s="199"/>
      <c r="W27" s="212">
        <f t="shared" ref="W27:X27" si="53">M27+O27+Q27+S27+U27</f>
        <v>307364.72</v>
      </c>
      <c r="X27" s="205">
        <f t="shared" si="53"/>
        <v>0</v>
      </c>
      <c r="Y27" s="201">
        <f t="shared" ref="Y27:Z27" si="54">C27-W27</f>
        <v>0</v>
      </c>
      <c r="Z27" s="202">
        <f t="shared" si="54"/>
        <v>0</v>
      </c>
      <c r="AA27" s="177"/>
      <c r="AB27" s="177"/>
      <c r="AC27" s="177"/>
    </row>
    <row r="28" ht="22.5" customHeight="1">
      <c r="A28" s="178">
        <v>3.0</v>
      </c>
      <c r="B28" s="215" t="s">
        <v>350</v>
      </c>
      <c r="C28" s="262">
        <v>289213.0</v>
      </c>
      <c r="D28" s="216">
        <v>105000.0</v>
      </c>
      <c r="E28" s="207"/>
      <c r="F28" s="207"/>
      <c r="G28" s="211"/>
      <c r="H28" s="207"/>
      <c r="I28" s="215" t="s">
        <v>1483</v>
      </c>
      <c r="J28" s="215"/>
      <c r="K28" s="211"/>
      <c r="L28" s="177"/>
      <c r="M28" s="204">
        <f t="shared" ref="M28:N28" si="55">C28</f>
        <v>289213</v>
      </c>
      <c r="N28" s="205">
        <f t="shared" si="55"/>
        <v>105000</v>
      </c>
      <c r="O28" s="177"/>
      <c r="P28" s="199"/>
      <c r="Q28" s="177"/>
      <c r="R28" s="177"/>
      <c r="S28" s="200"/>
      <c r="T28" s="177"/>
      <c r="U28" s="200"/>
      <c r="V28" s="199"/>
      <c r="W28" s="212">
        <f t="shared" ref="W28:X28" si="56">M28+O28+Q28+S28+U28</f>
        <v>289213</v>
      </c>
      <c r="X28" s="205">
        <f t="shared" si="56"/>
        <v>105000</v>
      </c>
      <c r="Y28" s="201">
        <f t="shared" ref="Y28:Z28" si="57">C28-W28</f>
        <v>0</v>
      </c>
      <c r="Z28" s="202">
        <f t="shared" si="57"/>
        <v>0</v>
      </c>
      <c r="AA28" s="177"/>
      <c r="AB28" s="177"/>
      <c r="AC28" s="177"/>
    </row>
    <row r="29" ht="22.5" customHeight="1">
      <c r="A29" s="178">
        <v>4.0</v>
      </c>
      <c r="B29" s="215" t="s">
        <v>1484</v>
      </c>
      <c r="C29" s="262">
        <v>283947.0</v>
      </c>
      <c r="D29" s="259">
        <v>0.0</v>
      </c>
      <c r="E29" s="215" t="s">
        <v>1485</v>
      </c>
      <c r="F29" s="207"/>
      <c r="G29" s="211"/>
      <c r="H29" s="207"/>
      <c r="I29" s="207"/>
      <c r="J29" s="215"/>
      <c r="K29" s="211"/>
      <c r="L29" s="177"/>
      <c r="M29" s="204">
        <f>C29</f>
        <v>283947</v>
      </c>
      <c r="N29" s="199"/>
      <c r="O29" s="177"/>
      <c r="P29" s="199"/>
      <c r="Q29" s="177"/>
      <c r="R29" s="177"/>
      <c r="S29" s="200"/>
      <c r="T29" s="177"/>
      <c r="U29" s="200"/>
      <c r="V29" s="199"/>
      <c r="W29" s="212">
        <f t="shared" ref="W29:X29" si="58">M29+O29+Q29+S29+U29</f>
        <v>283947</v>
      </c>
      <c r="X29" s="199">
        <f t="shared" si="58"/>
        <v>0</v>
      </c>
      <c r="Y29" s="201">
        <f t="shared" ref="Y29:Z29" si="59">C29-W29</f>
        <v>0</v>
      </c>
      <c r="Z29" s="202">
        <f t="shared" si="59"/>
        <v>0</v>
      </c>
      <c r="AA29" s="177"/>
      <c r="AB29" s="177"/>
      <c r="AC29" s="177"/>
    </row>
    <row r="30" ht="22.5" customHeight="1">
      <c r="A30" s="178">
        <v>5.0</v>
      </c>
      <c r="B30" s="207" t="s">
        <v>91</v>
      </c>
      <c r="C30" s="252">
        <v>259834.0</v>
      </c>
      <c r="D30" s="208">
        <v>600000.0</v>
      </c>
      <c r="E30" s="207" t="s">
        <v>1486</v>
      </c>
      <c r="F30" s="207" t="s">
        <v>1487</v>
      </c>
      <c r="G30" s="211"/>
      <c r="H30" s="207" t="s">
        <v>1488</v>
      </c>
      <c r="I30" s="207" t="s">
        <v>125</v>
      </c>
      <c r="J30" s="215" t="s">
        <v>1489</v>
      </c>
      <c r="K30" s="210" t="s">
        <v>1490</v>
      </c>
      <c r="L30" s="177"/>
      <c r="M30" s="200"/>
      <c r="N30" s="199"/>
      <c r="O30" s="177"/>
      <c r="P30" s="199"/>
      <c r="Q30" s="212">
        <f t="shared" ref="Q30:R30" si="60">C30</f>
        <v>259834</v>
      </c>
      <c r="R30" s="212">
        <f t="shared" si="60"/>
        <v>600000</v>
      </c>
      <c r="S30" s="200"/>
      <c r="T30" s="177"/>
      <c r="U30" s="200"/>
      <c r="V30" s="199"/>
      <c r="W30" s="212">
        <f t="shared" ref="W30:X30" si="61">M30+O30+Q30+S30+U30</f>
        <v>259834</v>
      </c>
      <c r="X30" s="205">
        <f t="shared" si="61"/>
        <v>600000</v>
      </c>
      <c r="Y30" s="201">
        <f t="shared" ref="Y30:Z30" si="62">C30-W30</f>
        <v>0</v>
      </c>
      <c r="Z30" s="202">
        <f t="shared" si="62"/>
        <v>0</v>
      </c>
      <c r="AA30" s="177"/>
      <c r="AB30" s="177"/>
      <c r="AC30" s="177"/>
    </row>
    <row r="31" ht="22.5" customHeight="1">
      <c r="A31" s="178">
        <v>6.0</v>
      </c>
      <c r="B31" s="190" t="s">
        <v>1491</v>
      </c>
      <c r="C31" s="263">
        <v>203530.0</v>
      </c>
      <c r="D31" s="264">
        <v>0.0</v>
      </c>
      <c r="E31" s="195" t="s">
        <v>1492</v>
      </c>
      <c r="F31" s="195" t="s">
        <v>1493</v>
      </c>
      <c r="G31" s="203"/>
      <c r="H31" s="195" t="s">
        <v>1494</v>
      </c>
      <c r="I31" s="190" t="s">
        <v>418</v>
      </c>
      <c r="J31" s="203"/>
      <c r="K31" s="203"/>
      <c r="L31" s="177"/>
      <c r="M31" s="200"/>
      <c r="N31" s="199"/>
      <c r="O31" s="177"/>
      <c r="P31" s="199"/>
      <c r="Q31" s="177"/>
      <c r="R31" s="177"/>
      <c r="S31" s="204">
        <f t="shared" ref="S31:T31" si="63">C31</f>
        <v>203530</v>
      </c>
      <c r="T31" s="212">
        <f t="shared" si="63"/>
        <v>0</v>
      </c>
      <c r="U31" s="200"/>
      <c r="V31" s="199"/>
      <c r="W31" s="212">
        <f t="shared" ref="W31:X31" si="64">M31+O31+Q31+S31+U31</f>
        <v>203530</v>
      </c>
      <c r="X31" s="205">
        <f t="shared" si="64"/>
        <v>0</v>
      </c>
      <c r="Y31" s="201">
        <f t="shared" ref="Y31:Z31" si="65">C31-W31</f>
        <v>0</v>
      </c>
      <c r="Z31" s="202">
        <f t="shared" si="65"/>
        <v>0</v>
      </c>
      <c r="AA31" s="177"/>
      <c r="AB31" s="177"/>
      <c r="AC31" s="177"/>
    </row>
    <row r="32" ht="22.5" customHeight="1">
      <c r="A32" s="178">
        <v>7.0</v>
      </c>
      <c r="B32" s="215" t="s">
        <v>1495</v>
      </c>
      <c r="C32" s="265">
        <v>198749.0</v>
      </c>
      <c r="D32" s="266">
        <v>316100.0</v>
      </c>
      <c r="E32" s="210" t="s">
        <v>1496</v>
      </c>
      <c r="F32" s="211"/>
      <c r="G32" s="211"/>
      <c r="H32" s="211"/>
      <c r="I32" s="190" t="s">
        <v>418</v>
      </c>
      <c r="J32" s="211"/>
      <c r="K32" s="211"/>
      <c r="L32" s="177"/>
      <c r="M32" s="200"/>
      <c r="N32" s="199"/>
      <c r="O32" s="177"/>
      <c r="P32" s="199"/>
      <c r="Q32" s="177"/>
      <c r="R32" s="177"/>
      <c r="S32" s="204">
        <f t="shared" ref="S32:T32" si="66">C32</f>
        <v>198749</v>
      </c>
      <c r="T32" s="212">
        <f t="shared" si="66"/>
        <v>316100</v>
      </c>
      <c r="U32" s="200"/>
      <c r="V32" s="199"/>
      <c r="W32" s="212">
        <f t="shared" ref="W32:X32" si="67">M32+O32+Q32+S32+U32</f>
        <v>198749</v>
      </c>
      <c r="X32" s="205">
        <f t="shared" si="67"/>
        <v>316100</v>
      </c>
      <c r="Y32" s="201">
        <f t="shared" ref="Y32:Z32" si="68">C32-W32</f>
        <v>0</v>
      </c>
      <c r="Z32" s="202">
        <f t="shared" si="68"/>
        <v>0</v>
      </c>
      <c r="AA32" s="177"/>
      <c r="AB32" s="177"/>
      <c r="AC32" s="177"/>
    </row>
    <row r="33" ht="64.5" customHeight="1">
      <c r="A33" s="178">
        <v>8.0</v>
      </c>
      <c r="B33" s="215" t="s">
        <v>1497</v>
      </c>
      <c r="C33" s="262">
        <v>149500.0</v>
      </c>
      <c r="D33" s="267">
        <v>200000.0</v>
      </c>
      <c r="E33" s="210" t="s">
        <v>1498</v>
      </c>
      <c r="F33" s="210" t="s">
        <v>1499</v>
      </c>
      <c r="G33" s="211"/>
      <c r="H33" s="210" t="s">
        <v>1500</v>
      </c>
      <c r="I33" s="215" t="s">
        <v>125</v>
      </c>
      <c r="J33" s="210" t="s">
        <v>1501</v>
      </c>
      <c r="K33" s="210" t="s">
        <v>1502</v>
      </c>
      <c r="L33" s="177"/>
      <c r="M33" s="200"/>
      <c r="N33" s="199"/>
      <c r="O33" s="177"/>
      <c r="P33" s="199"/>
      <c r="Q33" s="212">
        <f t="shared" ref="Q33:R33" si="69">C33</f>
        <v>149500</v>
      </c>
      <c r="R33" s="212">
        <f t="shared" si="69"/>
        <v>200000</v>
      </c>
      <c r="S33" s="200"/>
      <c r="T33" s="177"/>
      <c r="U33" s="200"/>
      <c r="V33" s="199"/>
      <c r="W33" s="212">
        <f t="shared" ref="W33:X33" si="70">M33+O33+Q33+S33+U33</f>
        <v>149500</v>
      </c>
      <c r="X33" s="205">
        <f t="shared" si="70"/>
        <v>200000</v>
      </c>
      <c r="Y33" s="201">
        <f t="shared" ref="Y33:Z33" si="71">C33-W33</f>
        <v>0</v>
      </c>
      <c r="Z33" s="202">
        <f t="shared" si="71"/>
        <v>0</v>
      </c>
      <c r="AA33" s="177"/>
      <c r="AB33" s="177"/>
      <c r="AC33" s="177"/>
    </row>
    <row r="34" ht="22.5" customHeight="1">
      <c r="A34" s="178">
        <v>9.0</v>
      </c>
      <c r="B34" s="207" t="s">
        <v>1503</v>
      </c>
      <c r="C34" s="252">
        <v>110897.0</v>
      </c>
      <c r="D34" s="214">
        <v>800000.0</v>
      </c>
      <c r="E34" s="210" t="s">
        <v>1504</v>
      </c>
      <c r="F34" s="210" t="s">
        <v>1505</v>
      </c>
      <c r="G34" s="211"/>
      <c r="H34" s="210" t="s">
        <v>1506</v>
      </c>
      <c r="I34" s="207" t="s">
        <v>418</v>
      </c>
      <c r="J34" s="211"/>
      <c r="K34" s="211"/>
      <c r="L34" s="177"/>
      <c r="M34" s="200"/>
      <c r="N34" s="199"/>
      <c r="O34" s="177"/>
      <c r="P34" s="199"/>
      <c r="Q34" s="177"/>
      <c r="R34" s="177"/>
      <c r="S34" s="204">
        <f t="shared" ref="S34:T34" si="72">C34</f>
        <v>110897</v>
      </c>
      <c r="T34" s="212">
        <f t="shared" si="72"/>
        <v>800000</v>
      </c>
      <c r="U34" s="200"/>
      <c r="V34" s="199"/>
      <c r="W34" s="212">
        <f t="shared" ref="W34:X34" si="73">M34+O34+Q34+S34+U34</f>
        <v>110897</v>
      </c>
      <c r="X34" s="205">
        <f t="shared" si="73"/>
        <v>800000</v>
      </c>
      <c r="Y34" s="201">
        <f t="shared" ref="Y34:Z34" si="74">C34-W34</f>
        <v>0</v>
      </c>
      <c r="Z34" s="202">
        <f t="shared" si="74"/>
        <v>0</v>
      </c>
      <c r="AA34" s="177"/>
      <c r="AB34" s="177"/>
      <c r="AC34" s="177"/>
    </row>
    <row r="35" ht="22.5" customHeight="1">
      <c r="A35" s="178">
        <v>10.0</v>
      </c>
      <c r="B35" s="193" t="s">
        <v>551</v>
      </c>
      <c r="C35" s="268">
        <v>100985.0</v>
      </c>
      <c r="D35" s="269">
        <v>300000.0</v>
      </c>
      <c r="E35" s="190"/>
      <c r="F35" s="270" t="s">
        <v>1507</v>
      </c>
      <c r="G35" s="270" t="s">
        <v>1508</v>
      </c>
      <c r="H35" s="270" t="s">
        <v>1509</v>
      </c>
      <c r="I35" s="193" t="s">
        <v>361</v>
      </c>
      <c r="J35" s="271" t="s">
        <v>1510</v>
      </c>
      <c r="K35" s="203"/>
      <c r="L35" s="177"/>
      <c r="M35" s="204">
        <f t="shared" ref="M35:N35" si="75">C35</f>
        <v>100985</v>
      </c>
      <c r="N35" s="205">
        <f t="shared" si="75"/>
        <v>300000</v>
      </c>
      <c r="O35" s="177"/>
      <c r="P35" s="199"/>
      <c r="Q35" s="177"/>
      <c r="R35" s="177"/>
      <c r="S35" s="200"/>
      <c r="T35" s="177"/>
      <c r="U35" s="200"/>
      <c r="V35" s="199"/>
      <c r="W35" s="212">
        <f t="shared" ref="W35:X35" si="76">M35+O35+Q35+S35+U35</f>
        <v>100985</v>
      </c>
      <c r="X35" s="205">
        <f t="shared" si="76"/>
        <v>300000</v>
      </c>
      <c r="Y35" s="201">
        <f t="shared" ref="Y35:Z35" si="77">C35-W35</f>
        <v>0</v>
      </c>
      <c r="Z35" s="202">
        <f t="shared" si="77"/>
        <v>0</v>
      </c>
      <c r="AA35" s="177"/>
      <c r="AB35" s="177"/>
      <c r="AC35" s="177"/>
    </row>
    <row r="36" ht="22.5" customHeight="1">
      <c r="A36" s="178">
        <v>11.0</v>
      </c>
      <c r="B36" s="190" t="s">
        <v>546</v>
      </c>
      <c r="C36" s="263">
        <v>99900.0</v>
      </c>
      <c r="D36" s="272">
        <v>300000.0</v>
      </c>
      <c r="E36" s="190" t="s">
        <v>1511</v>
      </c>
      <c r="F36" s="190" t="s">
        <v>1512</v>
      </c>
      <c r="G36" s="190" t="s">
        <v>1513</v>
      </c>
      <c r="H36" s="190" t="s">
        <v>1514</v>
      </c>
      <c r="I36" s="190" t="s">
        <v>125</v>
      </c>
      <c r="J36" s="203"/>
      <c r="K36" s="195" t="s">
        <v>1515</v>
      </c>
      <c r="L36" s="177"/>
      <c r="M36" s="200"/>
      <c r="N36" s="199"/>
      <c r="O36" s="177"/>
      <c r="P36" s="199"/>
      <c r="Q36" s="212">
        <f t="shared" ref="Q36:R36" si="78">C36</f>
        <v>99900</v>
      </c>
      <c r="R36" s="212">
        <f t="shared" si="78"/>
        <v>300000</v>
      </c>
      <c r="S36" s="200"/>
      <c r="T36" s="177"/>
      <c r="U36" s="200"/>
      <c r="V36" s="199"/>
      <c r="W36" s="212">
        <f t="shared" ref="W36:X36" si="79">M36+O36+Q36+S36+U36</f>
        <v>99900</v>
      </c>
      <c r="X36" s="205">
        <f t="shared" si="79"/>
        <v>300000</v>
      </c>
      <c r="Y36" s="201">
        <f t="shared" ref="Y36:Z36" si="80">C36-W36</f>
        <v>0</v>
      </c>
      <c r="Z36" s="202">
        <f t="shared" si="80"/>
        <v>0</v>
      </c>
      <c r="AA36" s="177"/>
      <c r="AB36" s="177"/>
      <c r="AC36" s="177"/>
    </row>
    <row r="37" ht="22.5" customHeight="1">
      <c r="A37" s="178">
        <v>12.0</v>
      </c>
      <c r="B37" s="215" t="s">
        <v>785</v>
      </c>
      <c r="C37" s="262">
        <v>206706.0</v>
      </c>
      <c r="D37" s="272">
        <v>200000.0</v>
      </c>
      <c r="E37" s="210" t="s">
        <v>1516</v>
      </c>
      <c r="F37" s="210" t="s">
        <v>1517</v>
      </c>
      <c r="G37" s="211"/>
      <c r="H37" s="210" t="s">
        <v>1518</v>
      </c>
      <c r="I37" s="210" t="s">
        <v>125</v>
      </c>
      <c r="J37" s="273" t="s">
        <v>1519</v>
      </c>
      <c r="K37" s="211"/>
      <c r="L37" s="177"/>
      <c r="M37" s="200"/>
      <c r="N37" s="199"/>
      <c r="O37" s="177"/>
      <c r="P37" s="199"/>
      <c r="Q37" s="274">
        <f t="shared" ref="Q37:R37" si="81">C37</f>
        <v>206706</v>
      </c>
      <c r="R37" s="274">
        <f t="shared" si="81"/>
        <v>200000</v>
      </c>
      <c r="S37" s="200"/>
      <c r="T37" s="177"/>
      <c r="U37" s="200"/>
      <c r="V37" s="199"/>
      <c r="W37" s="212">
        <f t="shared" ref="W37:X37" si="82">M37+O37+Q37+S37+U37</f>
        <v>206706</v>
      </c>
      <c r="X37" s="205">
        <f t="shared" si="82"/>
        <v>200000</v>
      </c>
      <c r="Y37" s="201">
        <f t="shared" ref="Y37:Z37" si="83">C37-W37</f>
        <v>0</v>
      </c>
      <c r="Z37" s="202">
        <f t="shared" si="83"/>
        <v>0</v>
      </c>
      <c r="AA37" s="177"/>
      <c r="AB37" s="177"/>
      <c r="AC37" s="177"/>
    </row>
    <row r="38" ht="22.5" customHeight="1">
      <c r="A38" s="178">
        <v>13.0</v>
      </c>
      <c r="B38" s="215" t="s">
        <v>143</v>
      </c>
      <c r="C38" s="262">
        <v>83885.0</v>
      </c>
      <c r="D38" s="272">
        <v>80000.0</v>
      </c>
      <c r="E38" s="210" t="s">
        <v>1520</v>
      </c>
      <c r="F38" s="210" t="s">
        <v>1521</v>
      </c>
      <c r="G38" s="211"/>
      <c r="H38" s="210" t="s">
        <v>1522</v>
      </c>
      <c r="I38" s="210" t="s">
        <v>535</v>
      </c>
      <c r="J38" s="210" t="s">
        <v>1523</v>
      </c>
      <c r="K38" s="210" t="s">
        <v>1524</v>
      </c>
      <c r="L38" s="177"/>
      <c r="M38" s="200"/>
      <c r="N38" s="199"/>
      <c r="O38" s="177"/>
      <c r="P38" s="199"/>
      <c r="Q38" s="212">
        <f t="shared" ref="Q38:R38" si="84">C38</f>
        <v>83885</v>
      </c>
      <c r="R38" s="212">
        <f t="shared" si="84"/>
        <v>80000</v>
      </c>
      <c r="S38" s="200"/>
      <c r="T38" s="177"/>
      <c r="U38" s="200"/>
      <c r="V38" s="199"/>
      <c r="W38" s="212">
        <f t="shared" ref="W38:X38" si="85">M38+O38+Q38+S38+U38</f>
        <v>83885</v>
      </c>
      <c r="X38" s="205">
        <f t="shared" si="85"/>
        <v>80000</v>
      </c>
      <c r="Y38" s="201">
        <f t="shared" ref="Y38:Z38" si="86">C38-W38</f>
        <v>0</v>
      </c>
      <c r="Z38" s="202">
        <f t="shared" si="86"/>
        <v>0</v>
      </c>
      <c r="AA38" s="177"/>
      <c r="AB38" s="177"/>
      <c r="AC38" s="177"/>
    </row>
    <row r="39" ht="22.5" customHeight="1">
      <c r="A39" s="178">
        <v>14.0</v>
      </c>
      <c r="B39" s="215" t="s">
        <v>852</v>
      </c>
      <c r="C39" s="262">
        <v>70005.0</v>
      </c>
      <c r="D39" s="272">
        <v>70000.0</v>
      </c>
      <c r="E39" s="210" t="s">
        <v>1525</v>
      </c>
      <c r="F39" s="211"/>
      <c r="G39" s="211"/>
      <c r="H39" s="210" t="s">
        <v>1526</v>
      </c>
      <c r="I39" s="210" t="s">
        <v>125</v>
      </c>
      <c r="J39" s="211"/>
      <c r="K39" s="211"/>
      <c r="L39" s="177"/>
      <c r="M39" s="200"/>
      <c r="N39" s="199"/>
      <c r="O39" s="177"/>
      <c r="P39" s="199"/>
      <c r="Q39" s="212">
        <f t="shared" ref="Q39:R39" si="87">C39</f>
        <v>70005</v>
      </c>
      <c r="R39" s="212">
        <f t="shared" si="87"/>
        <v>70000</v>
      </c>
      <c r="S39" s="200"/>
      <c r="T39" s="177"/>
      <c r="U39" s="200"/>
      <c r="V39" s="199"/>
      <c r="W39" s="212">
        <f t="shared" ref="W39:X39" si="88">M39+O39+Q39+S39+U39</f>
        <v>70005</v>
      </c>
      <c r="X39" s="205">
        <f t="shared" si="88"/>
        <v>70000</v>
      </c>
      <c r="Y39" s="201">
        <f t="shared" ref="Y39:Z39" si="89">C39-W39</f>
        <v>0</v>
      </c>
      <c r="Z39" s="202">
        <f t="shared" si="89"/>
        <v>0</v>
      </c>
      <c r="AA39" s="177"/>
      <c r="AB39" s="177"/>
      <c r="AC39" s="177"/>
    </row>
    <row r="40" ht="22.5" customHeight="1">
      <c r="A40" s="178">
        <v>15.0</v>
      </c>
      <c r="B40" s="207" t="s">
        <v>1527</v>
      </c>
      <c r="C40" s="252">
        <v>50673.0</v>
      </c>
      <c r="D40" s="275">
        <v>0.0</v>
      </c>
      <c r="E40" s="211"/>
      <c r="F40" s="211"/>
      <c r="G40" s="211"/>
      <c r="H40" s="211"/>
      <c r="I40" s="210" t="s">
        <v>418</v>
      </c>
      <c r="J40" s="211"/>
      <c r="K40" s="211"/>
      <c r="L40" s="177"/>
      <c r="M40" s="200"/>
      <c r="N40" s="199"/>
      <c r="O40" s="177"/>
      <c r="P40" s="199"/>
      <c r="Q40" s="177"/>
      <c r="R40" s="177"/>
      <c r="S40" s="204">
        <f t="shared" ref="S40:S41" si="92">C40</f>
        <v>50673</v>
      </c>
      <c r="T40" s="212">
        <f>D41</f>
        <v>0</v>
      </c>
      <c r="U40" s="200"/>
      <c r="V40" s="199"/>
      <c r="W40" s="212">
        <f t="shared" ref="W40:X40" si="90">M40+O40+Q40+S40+U40</f>
        <v>50673</v>
      </c>
      <c r="X40" s="205">
        <f t="shared" si="90"/>
        <v>0</v>
      </c>
      <c r="Y40" s="201">
        <f t="shared" ref="Y40:Z40" si="91">C40-W40</f>
        <v>0</v>
      </c>
      <c r="Z40" s="202">
        <f t="shared" si="91"/>
        <v>0</v>
      </c>
      <c r="AA40" s="177"/>
      <c r="AB40" s="177"/>
      <c r="AC40" s="177"/>
    </row>
    <row r="41" ht="22.5" customHeight="1">
      <c r="A41" s="178">
        <v>16.0</v>
      </c>
      <c r="B41" s="193" t="s">
        <v>1528</v>
      </c>
      <c r="C41" s="268">
        <v>40776.0</v>
      </c>
      <c r="D41" s="276">
        <v>0.0</v>
      </c>
      <c r="E41" s="190"/>
      <c r="F41" s="190"/>
      <c r="G41" s="190"/>
      <c r="H41" s="190"/>
      <c r="I41" s="193" t="s">
        <v>418</v>
      </c>
      <c r="J41" s="190"/>
      <c r="K41" s="203"/>
      <c r="L41" s="177"/>
      <c r="M41" s="200"/>
      <c r="N41" s="199"/>
      <c r="O41" s="177"/>
      <c r="P41" s="199"/>
      <c r="S41" s="204">
        <f t="shared" si="92"/>
        <v>40776</v>
      </c>
      <c r="T41" s="212">
        <f>D41</f>
        <v>0</v>
      </c>
      <c r="U41" s="200"/>
      <c r="V41" s="199"/>
      <c r="W41" s="212">
        <f t="shared" ref="W41:X41" si="93">M41+O41+Q41+S41+U41</f>
        <v>40776</v>
      </c>
      <c r="X41" s="205">
        <f t="shared" si="93"/>
        <v>0</v>
      </c>
      <c r="Y41" s="201">
        <f t="shared" ref="Y41:Z41" si="94">C41-W41</f>
        <v>0</v>
      </c>
      <c r="Z41" s="202">
        <f t="shared" si="94"/>
        <v>0</v>
      </c>
      <c r="AA41" s="177"/>
      <c r="AB41" s="177"/>
      <c r="AC41" s="177"/>
    </row>
    <row r="42" ht="22.5" customHeight="1">
      <c r="A42" s="178">
        <v>17.0</v>
      </c>
      <c r="B42" s="193" t="s">
        <v>781</v>
      </c>
      <c r="C42" s="268">
        <v>39500.0</v>
      </c>
      <c r="D42" s="272">
        <v>50000.0</v>
      </c>
      <c r="E42" s="193" t="s">
        <v>1529</v>
      </c>
      <c r="F42" s="193" t="s">
        <v>1530</v>
      </c>
      <c r="G42" s="190"/>
      <c r="H42" s="193" t="s">
        <v>1531</v>
      </c>
      <c r="I42" s="193" t="s">
        <v>125</v>
      </c>
      <c r="J42" s="190"/>
      <c r="K42" s="195" t="s">
        <v>1532</v>
      </c>
      <c r="L42" s="177"/>
      <c r="M42" s="200"/>
      <c r="N42" s="199"/>
      <c r="O42" s="177"/>
      <c r="P42" s="199"/>
      <c r="Q42" s="212">
        <f t="shared" ref="Q42:R42" si="95">C42</f>
        <v>39500</v>
      </c>
      <c r="R42" s="212">
        <f t="shared" si="95"/>
        <v>50000</v>
      </c>
      <c r="S42" s="200"/>
      <c r="T42" s="177"/>
      <c r="U42" s="200"/>
      <c r="V42" s="199"/>
      <c r="W42" s="212">
        <f t="shared" ref="W42:X42" si="96">M42+O42+Q42+S42+U42</f>
        <v>39500</v>
      </c>
      <c r="X42" s="205">
        <f t="shared" si="96"/>
        <v>50000</v>
      </c>
      <c r="Y42" s="201">
        <f t="shared" ref="Y42:Z42" si="97">C42-W42</f>
        <v>0</v>
      </c>
      <c r="Z42" s="202">
        <f t="shared" si="97"/>
        <v>0</v>
      </c>
      <c r="AA42" s="177"/>
      <c r="AB42" s="177"/>
      <c r="AC42" s="177"/>
    </row>
    <row r="43" ht="22.5" customHeight="1">
      <c r="A43" s="178">
        <v>18.0</v>
      </c>
      <c r="B43" s="190" t="s">
        <v>1533</v>
      </c>
      <c r="C43" s="263">
        <v>35202.0</v>
      </c>
      <c r="D43" s="272">
        <v>160000.0</v>
      </c>
      <c r="E43" s="190" t="s">
        <v>1534</v>
      </c>
      <c r="F43" s="190" t="s">
        <v>1535</v>
      </c>
      <c r="G43" s="190" t="s">
        <v>1536</v>
      </c>
      <c r="H43" s="190" t="s">
        <v>1537</v>
      </c>
      <c r="I43" s="190" t="s">
        <v>125</v>
      </c>
      <c r="J43" s="190" t="s">
        <v>1538</v>
      </c>
      <c r="K43" s="195" t="s">
        <v>1539</v>
      </c>
      <c r="L43" s="177"/>
      <c r="M43" s="200"/>
      <c r="N43" s="199"/>
      <c r="O43" s="177"/>
      <c r="P43" s="199"/>
      <c r="Q43" s="212">
        <f t="shared" ref="Q43:R43" si="98">C43</f>
        <v>35202</v>
      </c>
      <c r="R43" s="212">
        <f t="shared" si="98"/>
        <v>160000</v>
      </c>
      <c r="S43" s="200"/>
      <c r="T43" s="177"/>
      <c r="U43" s="200"/>
      <c r="V43" s="199"/>
      <c r="W43" s="212">
        <f t="shared" ref="W43:X43" si="99">M43+O43+Q43+S43+U43</f>
        <v>35202</v>
      </c>
      <c r="X43" s="205">
        <f t="shared" si="99"/>
        <v>160000</v>
      </c>
      <c r="Y43" s="201">
        <f t="shared" ref="Y43:Z43" si="100">C43-W43</f>
        <v>0</v>
      </c>
      <c r="Z43" s="202">
        <f t="shared" si="100"/>
        <v>0</v>
      </c>
      <c r="AA43" s="177"/>
      <c r="AB43" s="177"/>
      <c r="AC43" s="177"/>
    </row>
    <row r="44" ht="22.5" customHeight="1">
      <c r="A44" s="178">
        <v>19.0</v>
      </c>
      <c r="B44" s="207" t="s">
        <v>1540</v>
      </c>
      <c r="C44" s="252">
        <v>7863.0</v>
      </c>
      <c r="D44" s="208">
        <v>600000.0</v>
      </c>
      <c r="E44" s="207" t="s">
        <v>1541</v>
      </c>
      <c r="F44" s="207" t="s">
        <v>1542</v>
      </c>
      <c r="G44" s="211"/>
      <c r="H44" s="211"/>
      <c r="I44" s="207" t="s">
        <v>418</v>
      </c>
      <c r="J44" s="215" t="s">
        <v>1543</v>
      </c>
      <c r="K44" s="211"/>
      <c r="L44" s="177"/>
      <c r="M44" s="200"/>
      <c r="N44" s="199"/>
      <c r="O44" s="177"/>
      <c r="P44" s="199"/>
      <c r="Q44" s="177"/>
      <c r="R44" s="177"/>
      <c r="S44" s="204">
        <f t="shared" ref="S44:T44" si="101">C44</f>
        <v>7863</v>
      </c>
      <c r="T44" s="212">
        <f t="shared" si="101"/>
        <v>600000</v>
      </c>
      <c r="U44" s="200"/>
      <c r="V44" s="199"/>
      <c r="W44" s="212">
        <f t="shared" ref="W44:X44" si="102">M44+O44+Q44+S44+U44</f>
        <v>7863</v>
      </c>
      <c r="X44" s="205">
        <f t="shared" si="102"/>
        <v>600000</v>
      </c>
      <c r="Y44" s="201">
        <f t="shared" ref="Y44:Z44" si="103">C44-W44</f>
        <v>0</v>
      </c>
      <c r="Z44" s="202">
        <f t="shared" si="103"/>
        <v>0</v>
      </c>
      <c r="AB44" s="177"/>
      <c r="AC44" s="177"/>
    </row>
    <row r="45" ht="22.5" customHeight="1">
      <c r="A45" s="178">
        <v>20.0</v>
      </c>
      <c r="B45" s="190" t="s">
        <v>608</v>
      </c>
      <c r="C45" s="263">
        <v>7278.0</v>
      </c>
      <c r="D45" s="269">
        <v>500000.0</v>
      </c>
      <c r="E45" s="203"/>
      <c r="F45" s="203"/>
      <c r="G45" s="203"/>
      <c r="H45" s="203"/>
      <c r="I45" s="190" t="s">
        <v>418</v>
      </c>
      <c r="J45" s="203"/>
      <c r="K45" s="203"/>
      <c r="L45" s="177"/>
      <c r="M45" s="200"/>
      <c r="N45" s="199"/>
      <c r="O45" s="177"/>
      <c r="P45" s="199"/>
      <c r="Q45" s="177"/>
      <c r="R45" s="177"/>
      <c r="S45" s="204">
        <f t="shared" ref="S45:T45" si="104">C45</f>
        <v>7278</v>
      </c>
      <c r="T45" s="212">
        <f t="shared" si="104"/>
        <v>500000</v>
      </c>
      <c r="U45" s="200"/>
      <c r="V45" s="199"/>
      <c r="W45" s="212">
        <f t="shared" ref="W45:X45" si="105">M45+O45+Q45+S45+U45</f>
        <v>7278</v>
      </c>
      <c r="X45" s="205">
        <f t="shared" si="105"/>
        <v>500000</v>
      </c>
      <c r="Y45" s="201">
        <f t="shared" ref="Y45:Z45" si="106">C45-W45</f>
        <v>0</v>
      </c>
      <c r="Z45" s="202">
        <f t="shared" si="106"/>
        <v>0</v>
      </c>
      <c r="AA45" s="177"/>
      <c r="AB45" s="177"/>
      <c r="AC45" s="177"/>
    </row>
    <row r="46" ht="22.5" customHeight="1">
      <c r="A46" s="178">
        <v>21.0</v>
      </c>
      <c r="B46" s="193" t="s">
        <v>1544</v>
      </c>
      <c r="C46" s="268">
        <v>96502.0</v>
      </c>
      <c r="D46" s="264">
        <v>50000.0</v>
      </c>
      <c r="E46" s="195"/>
      <c r="F46" s="195"/>
      <c r="G46" s="203"/>
      <c r="H46" s="195"/>
      <c r="I46" s="195"/>
      <c r="J46" s="195"/>
      <c r="K46" s="195"/>
      <c r="M46" s="200"/>
      <c r="N46" s="199"/>
      <c r="O46" s="177"/>
      <c r="P46" s="199"/>
      <c r="Q46" s="177"/>
      <c r="R46" s="177"/>
      <c r="S46" s="204">
        <f t="shared" ref="S46:T46" si="107">C46</f>
        <v>96502</v>
      </c>
      <c r="T46" s="212">
        <f t="shared" si="107"/>
        <v>50000</v>
      </c>
      <c r="U46" s="200"/>
      <c r="V46" s="199"/>
      <c r="W46" s="212">
        <f t="shared" ref="W46:X46" si="108">M46+O46+Q46+S46+U46</f>
        <v>96502</v>
      </c>
      <c r="X46" s="205">
        <f t="shared" si="108"/>
        <v>50000</v>
      </c>
      <c r="Y46" s="201">
        <f t="shared" ref="Y46:Z46" si="109">C46-W46</f>
        <v>0</v>
      </c>
      <c r="Z46" s="202">
        <f t="shared" si="109"/>
        <v>0</v>
      </c>
      <c r="AA46" s="177"/>
      <c r="AB46" s="177"/>
      <c r="AC46" s="177"/>
    </row>
    <row r="47" ht="22.5" customHeight="1">
      <c r="A47" s="178">
        <v>22.0</v>
      </c>
      <c r="B47" s="193" t="s">
        <v>1545</v>
      </c>
      <c r="C47" s="268">
        <v>11900.0</v>
      </c>
      <c r="D47" s="264">
        <v>50000.0</v>
      </c>
      <c r="E47" s="195"/>
      <c r="F47" s="195"/>
      <c r="G47" s="203"/>
      <c r="H47" s="195"/>
      <c r="I47" s="195"/>
      <c r="J47" s="195"/>
      <c r="K47" s="195"/>
      <c r="M47" s="200"/>
      <c r="N47" s="199"/>
      <c r="O47" s="177"/>
      <c r="P47" s="199"/>
      <c r="Q47" s="177"/>
      <c r="R47" s="177"/>
      <c r="S47" s="204">
        <f t="shared" ref="S47:T47" si="110">C47</f>
        <v>11900</v>
      </c>
      <c r="T47" s="212">
        <f t="shared" si="110"/>
        <v>50000</v>
      </c>
      <c r="U47" s="200"/>
      <c r="V47" s="199"/>
      <c r="W47" s="212">
        <f t="shared" ref="W47:X47" si="111">M47+O47+Q47+S47+U47</f>
        <v>11900</v>
      </c>
      <c r="X47" s="205">
        <f t="shared" si="111"/>
        <v>50000</v>
      </c>
      <c r="Y47" s="201">
        <f t="shared" ref="Y47:Z47" si="112">C47-W47</f>
        <v>0</v>
      </c>
      <c r="Z47" s="202">
        <f t="shared" si="112"/>
        <v>0</v>
      </c>
      <c r="AA47" s="177"/>
      <c r="AB47" s="177"/>
      <c r="AC47" s="177"/>
    </row>
    <row r="48" ht="22.5" customHeight="1">
      <c r="A48" s="178">
        <v>23.0</v>
      </c>
      <c r="B48" s="193" t="s">
        <v>1269</v>
      </c>
      <c r="C48" s="268">
        <v>6052.0</v>
      </c>
      <c r="D48" s="264">
        <v>70000.0</v>
      </c>
      <c r="E48" s="195"/>
      <c r="F48" s="195"/>
      <c r="G48" s="203"/>
      <c r="H48" s="195"/>
      <c r="I48" s="195"/>
      <c r="J48" s="195"/>
      <c r="K48" s="195"/>
      <c r="M48" s="200"/>
      <c r="N48" s="199"/>
      <c r="O48" s="177"/>
      <c r="P48" s="199"/>
      <c r="Q48" s="177"/>
      <c r="R48" s="177"/>
      <c r="S48" s="204">
        <f t="shared" ref="S48:T48" si="113">C48</f>
        <v>6052</v>
      </c>
      <c r="T48" s="212">
        <f t="shared" si="113"/>
        <v>70000</v>
      </c>
      <c r="U48" s="200"/>
      <c r="V48" s="199"/>
      <c r="W48" s="212">
        <f t="shared" ref="W48:X48" si="114">M48+O48+Q48+S48+U48</f>
        <v>6052</v>
      </c>
      <c r="X48" s="205">
        <f t="shared" si="114"/>
        <v>70000</v>
      </c>
      <c r="Y48" s="201">
        <f t="shared" ref="Y48:Z48" si="115">C48-W48</f>
        <v>0</v>
      </c>
      <c r="Z48" s="202">
        <f t="shared" si="115"/>
        <v>0</v>
      </c>
      <c r="AA48" s="177"/>
      <c r="AB48" s="177"/>
      <c r="AC48" s="177"/>
    </row>
    <row r="49" ht="22.5" customHeight="1">
      <c r="A49" s="178">
        <v>24.0</v>
      </c>
      <c r="B49" s="193" t="s">
        <v>619</v>
      </c>
      <c r="C49" s="263"/>
      <c r="D49" s="264">
        <v>100000.0</v>
      </c>
      <c r="E49" s="195"/>
      <c r="F49" s="195"/>
      <c r="G49" s="203"/>
      <c r="H49" s="195"/>
      <c r="I49" s="195"/>
      <c r="J49" s="195"/>
      <c r="K49" s="195"/>
      <c r="M49" s="200"/>
      <c r="N49" s="199"/>
      <c r="O49" s="177"/>
      <c r="P49" s="199"/>
      <c r="Q49" s="177"/>
      <c r="R49" s="177"/>
      <c r="S49" s="200"/>
      <c r="T49" s="212">
        <f>D49</f>
        <v>100000</v>
      </c>
      <c r="U49" s="200"/>
      <c r="V49" s="199"/>
      <c r="W49" s="177">
        <f t="shared" ref="W49:X49" si="116">M49+O49+Q49+S49+U49</f>
        <v>0</v>
      </c>
      <c r="X49" s="205">
        <f t="shared" si="116"/>
        <v>100000</v>
      </c>
      <c r="Y49" s="201">
        <f t="shared" ref="Y49:Z49" si="117">C49-W49</f>
        <v>0</v>
      </c>
      <c r="Z49" s="202">
        <f t="shared" si="117"/>
        <v>0</v>
      </c>
      <c r="AA49" s="177"/>
      <c r="AB49" s="177"/>
      <c r="AC49" s="177"/>
    </row>
    <row r="50" ht="22.5" customHeight="1">
      <c r="A50" s="177"/>
      <c r="B50" s="193"/>
      <c r="C50" s="263"/>
      <c r="D50" s="264"/>
      <c r="E50" s="195"/>
      <c r="F50" s="195"/>
      <c r="G50" s="203"/>
      <c r="H50" s="195"/>
      <c r="I50" s="195"/>
      <c r="J50" s="195"/>
      <c r="K50" s="195"/>
      <c r="M50" s="200"/>
      <c r="N50" s="199"/>
      <c r="O50" s="177"/>
      <c r="P50" s="199"/>
      <c r="Q50" s="177"/>
      <c r="R50" s="177"/>
      <c r="S50" s="200"/>
      <c r="T50" s="177"/>
      <c r="U50" s="200"/>
      <c r="V50" s="199"/>
      <c r="W50" s="177">
        <f t="shared" ref="W50:X50" si="118">M50+O50+Q50+S50+U50</f>
        <v>0</v>
      </c>
      <c r="X50" s="199">
        <f t="shared" si="118"/>
        <v>0</v>
      </c>
      <c r="Y50" s="201">
        <f t="shared" ref="Y50:Z50" si="119">C50-W50</f>
        <v>0</v>
      </c>
      <c r="Z50" s="202">
        <f t="shared" si="119"/>
        <v>0</v>
      </c>
      <c r="AA50" s="177"/>
      <c r="AB50" s="177"/>
      <c r="AC50" s="177"/>
    </row>
    <row r="51" ht="22.5" customHeight="1">
      <c r="A51" s="177"/>
      <c r="B51" s="193"/>
      <c r="C51" s="263"/>
      <c r="D51" s="264"/>
      <c r="E51" s="195"/>
      <c r="F51" s="195"/>
      <c r="G51" s="203"/>
      <c r="H51" s="195"/>
      <c r="I51" s="195"/>
      <c r="J51" s="195"/>
      <c r="K51" s="195"/>
      <c r="M51" s="200"/>
      <c r="N51" s="199"/>
      <c r="O51" s="177"/>
      <c r="P51" s="199"/>
      <c r="Q51" s="177"/>
      <c r="R51" s="177"/>
      <c r="S51" s="200"/>
      <c r="T51" s="177"/>
      <c r="U51" s="200"/>
      <c r="V51" s="199"/>
      <c r="W51" s="177">
        <f t="shared" ref="W51:X51" si="120">M51+O51+Q51+S51+U51</f>
        <v>0</v>
      </c>
      <c r="X51" s="199">
        <f t="shared" si="120"/>
        <v>0</v>
      </c>
      <c r="Y51" s="201">
        <f t="shared" ref="Y51:Z51" si="121">C51-W51</f>
        <v>0</v>
      </c>
      <c r="Z51" s="202">
        <f t="shared" si="121"/>
        <v>0</v>
      </c>
      <c r="AA51" s="177"/>
      <c r="AB51" s="177"/>
      <c r="AC51" s="177"/>
    </row>
    <row r="52" ht="22.5" customHeight="1">
      <c r="A52" s="177"/>
      <c r="B52" s="193"/>
      <c r="C52" s="263"/>
      <c r="D52" s="264"/>
      <c r="E52" s="195"/>
      <c r="F52" s="195"/>
      <c r="G52" s="203"/>
      <c r="H52" s="195"/>
      <c r="I52" s="195"/>
      <c r="J52" s="195"/>
      <c r="K52" s="195"/>
      <c r="M52" s="200"/>
      <c r="N52" s="199"/>
      <c r="O52" s="177"/>
      <c r="P52" s="199"/>
      <c r="Q52" s="177"/>
      <c r="R52" s="177"/>
      <c r="S52" s="200"/>
      <c r="T52" s="177"/>
      <c r="U52" s="200"/>
      <c r="V52" s="199"/>
      <c r="W52" s="177">
        <f t="shared" ref="W52:X52" si="122">M52+O52+Q52+S52+U52</f>
        <v>0</v>
      </c>
      <c r="X52" s="199">
        <f t="shared" si="122"/>
        <v>0</v>
      </c>
      <c r="Y52" s="201">
        <f t="shared" ref="Y52:Z52" si="123">C52-W52</f>
        <v>0</v>
      </c>
      <c r="Z52" s="202">
        <f t="shared" si="123"/>
        <v>0</v>
      </c>
      <c r="AA52" s="177"/>
      <c r="AB52" s="177"/>
      <c r="AC52" s="177"/>
    </row>
    <row r="53" ht="22.5" customHeight="1">
      <c r="A53" s="177"/>
      <c r="B53" s="193"/>
      <c r="C53" s="263"/>
      <c r="D53" s="264"/>
      <c r="E53" s="195"/>
      <c r="F53" s="195"/>
      <c r="G53" s="203"/>
      <c r="H53" s="195"/>
      <c r="I53" s="195"/>
      <c r="J53" s="195"/>
      <c r="K53" s="195"/>
      <c r="M53" s="200"/>
      <c r="N53" s="199"/>
      <c r="O53" s="177"/>
      <c r="P53" s="199"/>
      <c r="Q53" s="177"/>
      <c r="R53" s="177"/>
      <c r="S53" s="200"/>
      <c r="T53" s="177"/>
      <c r="U53" s="200"/>
      <c r="V53" s="199"/>
      <c r="W53" s="177">
        <f t="shared" ref="W53:X53" si="124">M53+O53+Q53+S53+U53</f>
        <v>0</v>
      </c>
      <c r="X53" s="199">
        <f t="shared" si="124"/>
        <v>0</v>
      </c>
      <c r="Y53" s="201">
        <f t="shared" ref="Y53:Z53" si="125">C53-W53</f>
        <v>0</v>
      </c>
      <c r="Z53" s="202">
        <f t="shared" si="125"/>
        <v>0</v>
      </c>
      <c r="AA53" s="177"/>
      <c r="AB53" s="177"/>
      <c r="AC53" s="177"/>
    </row>
    <row r="54" ht="22.5" customHeight="1">
      <c r="A54" s="177"/>
      <c r="B54" s="193"/>
      <c r="C54" s="263"/>
      <c r="D54" s="264"/>
      <c r="E54" s="195"/>
      <c r="F54" s="195"/>
      <c r="G54" s="203"/>
      <c r="H54" s="195"/>
      <c r="I54" s="195"/>
      <c r="J54" s="195"/>
      <c r="K54" s="195"/>
      <c r="M54" s="200"/>
      <c r="N54" s="199"/>
      <c r="O54" s="177"/>
      <c r="P54" s="199"/>
      <c r="Q54" s="177"/>
      <c r="R54" s="177"/>
      <c r="S54" s="200"/>
      <c r="T54" s="177"/>
      <c r="U54" s="200"/>
      <c r="V54" s="199"/>
      <c r="W54" s="177">
        <f t="shared" ref="W54:X54" si="126">M54+O54+Q54+S54+U54</f>
        <v>0</v>
      </c>
      <c r="X54" s="199">
        <f t="shared" si="126"/>
        <v>0</v>
      </c>
      <c r="Y54" s="201">
        <f t="shared" ref="Y54:Z54" si="127">C54-W54</f>
        <v>0</v>
      </c>
      <c r="Z54" s="202">
        <f t="shared" si="127"/>
        <v>0</v>
      </c>
      <c r="AA54" s="177"/>
      <c r="AB54" s="177"/>
      <c r="AC54" s="177"/>
    </row>
    <row r="55" ht="22.5" customHeight="1">
      <c r="A55" s="177"/>
      <c r="B55" s="193"/>
      <c r="C55" s="263"/>
      <c r="D55" s="264"/>
      <c r="E55" s="195"/>
      <c r="F55" s="195"/>
      <c r="G55" s="203"/>
      <c r="H55" s="195"/>
      <c r="I55" s="195"/>
      <c r="J55" s="195"/>
      <c r="K55" s="195"/>
      <c r="M55" s="200"/>
      <c r="N55" s="199"/>
      <c r="O55" s="177"/>
      <c r="P55" s="199"/>
      <c r="Q55" s="177"/>
      <c r="R55" s="177"/>
      <c r="S55" s="200"/>
      <c r="T55" s="177"/>
      <c r="U55" s="200"/>
      <c r="V55" s="199"/>
      <c r="W55" s="177">
        <f t="shared" ref="W55:X55" si="128">M55+O55+Q55+S55+U55</f>
        <v>0</v>
      </c>
      <c r="X55" s="199">
        <f t="shared" si="128"/>
        <v>0</v>
      </c>
      <c r="Y55" s="201">
        <f t="shared" ref="Y55:Z55" si="129">C55-W55</f>
        <v>0</v>
      </c>
      <c r="Z55" s="202">
        <f t="shared" si="129"/>
        <v>0</v>
      </c>
      <c r="AA55" s="177"/>
      <c r="AB55" s="177"/>
      <c r="AC55" s="177"/>
    </row>
    <row r="56" ht="22.5" customHeight="1">
      <c r="A56" s="177"/>
      <c r="B56" s="193"/>
      <c r="C56" s="263"/>
      <c r="D56" s="264"/>
      <c r="E56" s="195"/>
      <c r="F56" s="195"/>
      <c r="G56" s="203"/>
      <c r="H56" s="195"/>
      <c r="I56" s="195"/>
      <c r="J56" s="195"/>
      <c r="K56" s="195"/>
      <c r="M56" s="217"/>
      <c r="N56" s="218"/>
      <c r="O56" s="277"/>
      <c r="P56" s="218"/>
      <c r="Q56" s="277" t="str">
        <f t="shared" ref="Q56:R56" si="130">C59</f>
        <v/>
      </c>
      <c r="R56" s="277" t="str">
        <f t="shared" si="130"/>
        <v/>
      </c>
      <c r="S56" s="217"/>
      <c r="T56" s="277"/>
      <c r="U56" s="217"/>
      <c r="V56" s="218"/>
      <c r="W56" s="177">
        <f t="shared" ref="W56:X56" si="131">M56+O56+Q56+S56+U56</f>
        <v>0</v>
      </c>
      <c r="X56" s="199">
        <f t="shared" si="131"/>
        <v>0</v>
      </c>
      <c r="Y56" s="201">
        <f t="shared" ref="Y56:Z56" si="132">C56-W56</f>
        <v>0</v>
      </c>
      <c r="Z56" s="202">
        <f t="shared" si="132"/>
        <v>0</v>
      </c>
      <c r="AA56" s="177"/>
      <c r="AB56" s="177"/>
      <c r="AC56" s="177"/>
    </row>
    <row r="57">
      <c r="A57" s="278"/>
      <c r="B57" s="279" t="s">
        <v>1468</v>
      </c>
      <c r="C57" s="280">
        <f t="shared" ref="C57:D57" si="133">SUM(C26:C56)</f>
        <v>3256421.72</v>
      </c>
      <c r="D57" s="280">
        <f t="shared" si="133"/>
        <v>5133100</v>
      </c>
      <c r="E57" s="281"/>
      <c r="F57" s="281"/>
      <c r="G57" s="281"/>
      <c r="H57" s="281"/>
      <c r="I57" s="281"/>
      <c r="J57" s="281"/>
      <c r="K57" s="281"/>
      <c r="L57" s="65"/>
      <c r="M57" s="282">
        <f t="shared" ref="M57:X57" si="134">SUM(M26:M56)</f>
        <v>1270305</v>
      </c>
      <c r="N57" s="282">
        <f t="shared" si="134"/>
        <v>987000</v>
      </c>
      <c r="O57" s="282">
        <f t="shared" si="134"/>
        <v>307364.72</v>
      </c>
      <c r="P57" s="282">
        <f t="shared" si="134"/>
        <v>0</v>
      </c>
      <c r="Q57" s="282">
        <f t="shared" si="134"/>
        <v>944532</v>
      </c>
      <c r="R57" s="282">
        <f t="shared" si="134"/>
        <v>1660000</v>
      </c>
      <c r="S57" s="282">
        <f t="shared" si="134"/>
        <v>734220</v>
      </c>
      <c r="T57" s="282">
        <f t="shared" si="134"/>
        <v>2486100</v>
      </c>
      <c r="U57" s="282">
        <f t="shared" si="134"/>
        <v>0</v>
      </c>
      <c r="V57" s="282">
        <f t="shared" si="134"/>
        <v>0</v>
      </c>
      <c r="W57" s="280">
        <f t="shared" si="134"/>
        <v>3256421.72</v>
      </c>
      <c r="X57" s="280">
        <f t="shared" si="134"/>
        <v>5133100</v>
      </c>
      <c r="Y57" s="283">
        <f t="shared" ref="Y57:Z57" si="135">C57-W57</f>
        <v>0</v>
      </c>
      <c r="Z57" s="284">
        <f t="shared" si="135"/>
        <v>0</v>
      </c>
      <c r="AA57" s="285" t="s">
        <v>1469</v>
      </c>
      <c r="AB57" s="278"/>
      <c r="AC57" s="278"/>
    </row>
    <row r="58">
      <c r="A58" s="177"/>
      <c r="B58" s="286" t="s">
        <v>1470</v>
      </c>
      <c r="C58" s="287">
        <f>C57/23</f>
        <v>141583.553</v>
      </c>
      <c r="D58" s="287">
        <f>D57/24</f>
        <v>213879.1667</v>
      </c>
      <c r="E58" s="181"/>
      <c r="F58" s="181"/>
      <c r="G58" s="181"/>
      <c r="H58" s="181"/>
      <c r="I58" s="181"/>
      <c r="J58" s="181"/>
      <c r="K58" s="181"/>
      <c r="M58" s="255"/>
      <c r="N58" s="288">
        <f>N57/M57</f>
        <v>0.7769787571</v>
      </c>
      <c r="O58" s="253"/>
      <c r="P58" s="288">
        <f>P57/O57</f>
        <v>0</v>
      </c>
      <c r="Q58" s="255"/>
      <c r="R58" s="288">
        <f>R57/Q57</f>
        <v>1.75748413</v>
      </c>
      <c r="S58" s="255"/>
      <c r="T58" s="288">
        <f>T57/S57</f>
        <v>3.386042331</v>
      </c>
      <c r="U58" s="255"/>
      <c r="V58" s="288" t="str">
        <f>V57/U57</f>
        <v>#DIV/0!</v>
      </c>
      <c r="W58" s="255"/>
      <c r="X58" s="288">
        <f>X57/W57</f>
        <v>1.57630075</v>
      </c>
      <c r="Y58" s="177"/>
      <c r="Z58" s="177"/>
      <c r="AA58" s="177"/>
      <c r="AB58" s="177"/>
      <c r="AC58" s="177"/>
    </row>
    <row r="59">
      <c r="A59" s="177"/>
      <c r="B59" s="181"/>
      <c r="C59" s="181"/>
      <c r="D59" s="181"/>
      <c r="E59" s="181"/>
      <c r="F59" s="181"/>
      <c r="G59" s="181"/>
      <c r="H59" s="181"/>
      <c r="I59" s="181"/>
      <c r="J59" s="181"/>
      <c r="K59" s="181"/>
      <c r="L59" s="235" t="s">
        <v>1546</v>
      </c>
      <c r="M59" s="289">
        <v>3500000.0</v>
      </c>
      <c r="N59" s="205">
        <f>N57</f>
        <v>987000</v>
      </c>
      <c r="O59" s="290">
        <v>1550000.0</v>
      </c>
      <c r="P59" s="205">
        <f>P57</f>
        <v>0</v>
      </c>
      <c r="Q59" s="289">
        <v>4650000.0</v>
      </c>
      <c r="R59" s="205">
        <f>R57</f>
        <v>1660000</v>
      </c>
      <c r="S59" s="289">
        <v>4750000.0</v>
      </c>
      <c r="T59" s="205">
        <f>T57</f>
        <v>2486100</v>
      </c>
      <c r="U59" s="289">
        <v>700000.0</v>
      </c>
      <c r="V59" s="205">
        <f>V57</f>
        <v>0</v>
      </c>
      <c r="W59" s="204">
        <f t="shared" ref="W59:X59" si="136">M59+O59+Q59+S59+U59</f>
        <v>15150000</v>
      </c>
      <c r="X59" s="205">
        <f t="shared" si="136"/>
        <v>5133100</v>
      </c>
      <c r="Y59" s="177"/>
      <c r="Z59" s="177"/>
      <c r="AA59" s="177"/>
      <c r="AB59" s="177"/>
      <c r="AC59" s="177"/>
    </row>
    <row r="60">
      <c r="A60" s="177"/>
      <c r="B60" s="181"/>
      <c r="C60" s="181"/>
      <c r="D60" s="181"/>
      <c r="E60" s="181"/>
      <c r="F60" s="181"/>
      <c r="G60" s="181"/>
      <c r="H60" s="181"/>
      <c r="I60" s="181"/>
      <c r="J60" s="181"/>
      <c r="K60" s="181"/>
      <c r="L60" s="177"/>
      <c r="M60" s="217"/>
      <c r="N60" s="291">
        <f>N59/M59</f>
        <v>0.282</v>
      </c>
      <c r="O60" s="277"/>
      <c r="P60" s="291">
        <f>P59/O59</f>
        <v>0</v>
      </c>
      <c r="Q60" s="217"/>
      <c r="R60" s="291">
        <f>R59/Q59</f>
        <v>0.3569892473</v>
      </c>
      <c r="S60" s="217"/>
      <c r="T60" s="291">
        <f>T59/S59</f>
        <v>0.5233894737</v>
      </c>
      <c r="U60" s="217"/>
      <c r="V60" s="291">
        <f>V59/U59</f>
        <v>0</v>
      </c>
      <c r="W60" s="217"/>
      <c r="X60" s="291">
        <f>X59/W59</f>
        <v>0.3388184818</v>
      </c>
      <c r="Y60" s="177"/>
      <c r="Z60" s="177"/>
      <c r="AA60" s="177"/>
      <c r="AB60" s="177"/>
      <c r="AC60" s="177"/>
    </row>
    <row r="61">
      <c r="A61" s="292"/>
      <c r="B61" s="293"/>
      <c r="C61" s="293"/>
      <c r="D61" s="293"/>
      <c r="E61" s="293"/>
      <c r="F61" s="293"/>
      <c r="G61" s="293"/>
      <c r="H61" s="293"/>
      <c r="I61" s="293"/>
      <c r="J61" s="293"/>
      <c r="K61" s="293"/>
      <c r="L61" s="294" t="s">
        <v>1547</v>
      </c>
      <c r="M61" s="295">
        <f t="shared" ref="M61:X61" si="137">M22+M59</f>
        <v>8500000</v>
      </c>
      <c r="N61" s="296">
        <f t="shared" si="137"/>
        <v>5478265</v>
      </c>
      <c r="O61" s="295">
        <f t="shared" si="137"/>
        <v>11550000</v>
      </c>
      <c r="P61" s="296">
        <f t="shared" si="137"/>
        <v>9354420.03</v>
      </c>
      <c r="Q61" s="295">
        <f t="shared" si="137"/>
        <v>7950000</v>
      </c>
      <c r="R61" s="296">
        <f t="shared" si="137"/>
        <v>5560000</v>
      </c>
      <c r="S61" s="295">
        <f t="shared" si="137"/>
        <v>7950000</v>
      </c>
      <c r="T61" s="296">
        <f t="shared" si="137"/>
        <v>4686100</v>
      </c>
      <c r="U61" s="295">
        <f t="shared" si="137"/>
        <v>1200000</v>
      </c>
      <c r="V61" s="296">
        <f t="shared" si="137"/>
        <v>500000</v>
      </c>
      <c r="W61" s="295">
        <f t="shared" si="137"/>
        <v>37150000</v>
      </c>
      <c r="X61" s="296">
        <f t="shared" si="137"/>
        <v>25578785.03</v>
      </c>
      <c r="Y61" s="292"/>
      <c r="Z61" s="292"/>
      <c r="AA61" s="292"/>
      <c r="AB61" s="292"/>
      <c r="AC61" s="292"/>
    </row>
    <row r="62">
      <c r="A62" s="177"/>
      <c r="B62" s="181"/>
      <c r="C62" s="181"/>
      <c r="D62" s="181"/>
      <c r="E62" s="181"/>
      <c r="F62" s="181"/>
      <c r="G62" s="181"/>
      <c r="H62" s="181"/>
      <c r="I62" s="181"/>
      <c r="J62" s="181"/>
      <c r="K62" s="181"/>
      <c r="L62" s="177"/>
      <c r="M62" s="297">
        <v>8500000.0</v>
      </c>
      <c r="N62" s="298">
        <f>N61/M61</f>
        <v>0.6445017647</v>
      </c>
      <c r="O62" s="297">
        <v>1.155E7</v>
      </c>
      <c r="P62" s="298">
        <f>P61/O61</f>
        <v>0.8099064961</v>
      </c>
      <c r="Q62" s="297">
        <v>7950000.0</v>
      </c>
      <c r="R62" s="298">
        <f>R61/Q61</f>
        <v>0.6993710692</v>
      </c>
      <c r="S62" s="297">
        <v>7950000.0</v>
      </c>
      <c r="T62" s="298">
        <f>T61/S61</f>
        <v>0.5894465409</v>
      </c>
      <c r="U62" s="297">
        <v>1200000.0</v>
      </c>
      <c r="V62" s="298">
        <f>V61/U61</f>
        <v>0.4166666667</v>
      </c>
      <c r="W62" s="297">
        <v>3.715E7</v>
      </c>
      <c r="X62" s="298">
        <f>X61/W61</f>
        <v>0.6885271879</v>
      </c>
      <c r="Y62" s="177"/>
      <c r="Z62" s="177"/>
      <c r="AA62" s="177"/>
      <c r="AB62" s="177"/>
      <c r="AC62" s="177"/>
    </row>
    <row r="63">
      <c r="A63" s="278"/>
      <c r="B63" s="299"/>
      <c r="C63" s="299"/>
      <c r="D63" s="299"/>
      <c r="E63" s="299"/>
      <c r="F63" s="299"/>
      <c r="G63" s="299"/>
      <c r="H63" s="299"/>
      <c r="I63" s="299"/>
      <c r="J63" s="299"/>
      <c r="K63" s="299"/>
      <c r="L63" s="294" t="s">
        <v>1548</v>
      </c>
      <c r="M63" s="300"/>
      <c r="N63" s="301">
        <f>M61-N61</f>
        <v>3021735</v>
      </c>
      <c r="O63" s="300"/>
      <c r="P63" s="302">
        <f>O61-P61</f>
        <v>2195579.97</v>
      </c>
      <c r="Q63" s="303"/>
      <c r="R63" s="301">
        <f>Q61-R61</f>
        <v>2390000</v>
      </c>
      <c r="S63" s="300"/>
      <c r="T63" s="302">
        <f>S61-T61</f>
        <v>3263900</v>
      </c>
      <c r="U63" s="300"/>
      <c r="V63" s="302">
        <f>U61-V61</f>
        <v>700000</v>
      </c>
      <c r="W63" s="304">
        <f>100%-X62</f>
        <v>0.3114728121</v>
      </c>
      <c r="X63" s="302">
        <f>N63+P63+R63+T63+V63</f>
        <v>11571214.97</v>
      </c>
      <c r="Y63" s="278"/>
      <c r="Z63" s="278"/>
      <c r="AA63" s="278"/>
      <c r="AB63" s="278"/>
      <c r="AC63" s="278"/>
    </row>
    <row r="64">
      <c r="A64" s="177"/>
      <c r="B64" s="181"/>
      <c r="C64" s="181"/>
      <c r="D64" s="181"/>
      <c r="E64" s="181"/>
      <c r="F64" s="181"/>
      <c r="G64" s="181"/>
      <c r="H64" s="181"/>
      <c r="I64" s="181"/>
      <c r="J64" s="181"/>
      <c r="K64" s="181"/>
      <c r="L64" s="177"/>
      <c r="M64" s="305" t="s">
        <v>561</v>
      </c>
      <c r="N64" s="56"/>
      <c r="O64" s="305" t="s">
        <v>564</v>
      </c>
      <c r="P64" s="102"/>
      <c r="Q64" s="305" t="s">
        <v>562</v>
      </c>
      <c r="R64" s="56"/>
      <c r="S64" s="306" t="s">
        <v>563</v>
      </c>
      <c r="T64" s="102"/>
      <c r="U64" s="305" t="s">
        <v>581</v>
      </c>
      <c r="V64" s="56"/>
      <c r="W64" s="307" t="s">
        <v>1549</v>
      </c>
      <c r="X64" s="308"/>
      <c r="Y64" s="177"/>
      <c r="Z64" s="177"/>
      <c r="AA64" s="177"/>
      <c r="AB64" s="177"/>
      <c r="AC64" s="177"/>
    </row>
    <row r="65">
      <c r="A65" s="177"/>
      <c r="B65" s="181"/>
      <c r="C65" s="181"/>
      <c r="D65" s="181"/>
      <c r="E65" s="181"/>
      <c r="F65" s="181"/>
      <c r="G65" s="181"/>
      <c r="H65" s="181"/>
      <c r="I65" s="181"/>
      <c r="J65" s="181"/>
      <c r="K65" s="181"/>
      <c r="L65" s="177"/>
      <c r="M65" s="177"/>
      <c r="N65" s="177"/>
      <c r="O65" s="177"/>
      <c r="P65" s="177"/>
      <c r="Q65" s="177"/>
      <c r="R65" s="177"/>
      <c r="S65" s="177"/>
      <c r="T65" s="177"/>
      <c r="U65" s="177"/>
      <c r="V65" s="177"/>
      <c r="W65" s="177"/>
      <c r="X65" s="177"/>
      <c r="Y65" s="177"/>
      <c r="Z65" s="177"/>
      <c r="AA65" s="177"/>
      <c r="AB65" s="177"/>
      <c r="AC65" s="177"/>
    </row>
    <row r="66">
      <c r="A66" s="177"/>
      <c r="B66" s="181"/>
      <c r="C66" s="181"/>
      <c r="D66" s="181"/>
      <c r="E66" s="181"/>
      <c r="F66" s="181"/>
      <c r="G66" s="181"/>
      <c r="H66" s="181"/>
      <c r="I66" s="181"/>
      <c r="J66" s="181"/>
      <c r="K66" s="181"/>
      <c r="L66" s="177"/>
      <c r="M66" s="177"/>
      <c r="N66" s="177"/>
      <c r="O66" s="177"/>
      <c r="P66" s="177"/>
      <c r="Q66" s="177"/>
      <c r="R66" s="177"/>
      <c r="S66" s="177"/>
      <c r="T66" s="177"/>
      <c r="U66" s="177"/>
      <c r="V66" s="177"/>
      <c r="W66" s="177"/>
      <c r="X66" s="177"/>
      <c r="Y66" s="177"/>
      <c r="Z66" s="177"/>
      <c r="AA66" s="177"/>
      <c r="AB66" s="177"/>
      <c r="AC66" s="177"/>
    </row>
    <row r="67">
      <c r="A67" s="177"/>
      <c r="B67" s="181"/>
      <c r="C67" s="181"/>
      <c r="D67" s="181"/>
      <c r="E67" s="181"/>
      <c r="F67" s="181"/>
      <c r="G67" s="181"/>
      <c r="H67" s="181"/>
      <c r="I67" s="181"/>
      <c r="J67" s="181"/>
      <c r="K67" s="181"/>
      <c r="L67" s="177"/>
      <c r="Y67" s="177"/>
      <c r="Z67" s="177"/>
      <c r="AA67" s="177"/>
      <c r="AB67" s="177"/>
      <c r="AC67" s="177"/>
    </row>
    <row r="68" ht="22.5" customHeight="1">
      <c r="A68" s="177"/>
      <c r="B68" s="309" t="s">
        <v>4</v>
      </c>
      <c r="C68" s="309" t="s">
        <v>1550</v>
      </c>
      <c r="D68" s="309" t="s">
        <v>1406</v>
      </c>
      <c r="E68" s="309" t="s">
        <v>1551</v>
      </c>
      <c r="F68" s="309" t="s">
        <v>1552</v>
      </c>
      <c r="G68" s="309" t="s">
        <v>1553</v>
      </c>
      <c r="H68" s="309" t="s">
        <v>1554</v>
      </c>
      <c r="I68" s="309" t="s">
        <v>1555</v>
      </c>
      <c r="J68" s="309" t="s">
        <v>1556</v>
      </c>
      <c r="K68" s="309" t="s">
        <v>1557</v>
      </c>
      <c r="L68" s="177"/>
      <c r="M68" s="177"/>
      <c r="N68" s="177"/>
      <c r="O68" s="177"/>
      <c r="P68" s="177"/>
      <c r="Q68" s="177"/>
      <c r="R68" s="177"/>
      <c r="S68" s="177"/>
      <c r="T68" s="177"/>
      <c r="U68" s="177"/>
      <c r="V68" s="177"/>
      <c r="W68" s="177"/>
      <c r="X68" s="177"/>
      <c r="Y68" s="177"/>
      <c r="Z68" s="177"/>
      <c r="AA68" s="177"/>
      <c r="AB68" s="177"/>
      <c r="AC68" s="177"/>
    </row>
    <row r="69" ht="22.5" customHeight="1">
      <c r="A69" s="177"/>
      <c r="B69" s="310" t="s">
        <v>4</v>
      </c>
      <c r="C69" s="311"/>
      <c r="D69" s="312" t="s">
        <v>1558</v>
      </c>
      <c r="E69" s="311" t="s">
        <v>1559</v>
      </c>
      <c r="F69" s="312" t="s">
        <v>1560</v>
      </c>
      <c r="G69" s="311" t="s">
        <v>1404</v>
      </c>
      <c r="H69" s="312" t="s">
        <v>1405</v>
      </c>
      <c r="I69" s="312" t="s">
        <v>1406</v>
      </c>
      <c r="J69" s="312" t="s">
        <v>1407</v>
      </c>
      <c r="K69" s="313" t="s">
        <v>326</v>
      </c>
      <c r="L69" s="177"/>
      <c r="M69" s="177"/>
      <c r="N69" s="177"/>
      <c r="O69" s="177"/>
      <c r="P69" s="177"/>
      <c r="Q69" s="177"/>
      <c r="R69" s="177"/>
      <c r="S69" s="177"/>
      <c r="T69" s="177"/>
      <c r="U69" s="177"/>
      <c r="V69" s="177"/>
      <c r="W69" s="177"/>
      <c r="X69" s="177"/>
      <c r="Y69" s="177"/>
      <c r="Z69" s="177"/>
      <c r="AA69" s="177"/>
      <c r="AB69" s="177"/>
      <c r="AC69" s="177"/>
    </row>
    <row r="70" ht="22.5" customHeight="1">
      <c r="A70" s="177"/>
      <c r="B70" s="207" t="s">
        <v>1561</v>
      </c>
      <c r="C70" s="213"/>
      <c r="D70" s="211"/>
      <c r="E70" s="213" t="s">
        <v>1562</v>
      </c>
      <c r="F70" s="210" t="s">
        <v>1563</v>
      </c>
      <c r="G70" s="211"/>
      <c r="H70" s="211"/>
      <c r="I70" s="211"/>
      <c r="J70" s="211"/>
      <c r="K70" s="211"/>
      <c r="L70" s="177"/>
      <c r="M70" s="177"/>
      <c r="N70" s="177"/>
      <c r="O70" s="177"/>
      <c r="P70" s="177"/>
      <c r="Q70" s="177"/>
      <c r="R70" s="177"/>
      <c r="S70" s="177"/>
      <c r="T70" s="177"/>
      <c r="U70" s="177"/>
      <c r="V70" s="177"/>
      <c r="W70" s="177"/>
      <c r="X70" s="177"/>
      <c r="Y70" s="177"/>
      <c r="Z70" s="177"/>
      <c r="AA70" s="177"/>
      <c r="AB70" s="177"/>
      <c r="AC70" s="177"/>
    </row>
    <row r="71" ht="22.5" customHeight="1">
      <c r="A71" s="177"/>
      <c r="B71" s="193" t="s">
        <v>471</v>
      </c>
      <c r="C71" s="314">
        <v>0.0</v>
      </c>
      <c r="D71" s="264">
        <v>200000.0</v>
      </c>
      <c r="E71" s="195" t="s">
        <v>1564</v>
      </c>
      <c r="F71" s="195" t="s">
        <v>1565</v>
      </c>
      <c r="G71" s="203"/>
      <c r="H71" s="195" t="s">
        <v>1566</v>
      </c>
      <c r="I71" s="195" t="s">
        <v>125</v>
      </c>
      <c r="J71" s="195" t="s">
        <v>1567</v>
      </c>
      <c r="K71" s="195" t="s">
        <v>1568</v>
      </c>
      <c r="L71" s="177"/>
      <c r="M71" s="177"/>
      <c r="N71" s="177"/>
      <c r="O71" s="177"/>
      <c r="P71" s="177"/>
      <c r="Q71" s="177"/>
      <c r="R71" s="177"/>
      <c r="S71" s="177"/>
      <c r="T71" s="177"/>
      <c r="U71" s="177"/>
      <c r="V71" s="177"/>
      <c r="W71" s="177"/>
      <c r="X71" s="177"/>
      <c r="Y71" s="177"/>
      <c r="Z71" s="177"/>
      <c r="AA71" s="177"/>
      <c r="AB71" s="177"/>
      <c r="AC71" s="177"/>
    </row>
    <row r="72" ht="22.5" customHeight="1">
      <c r="A72" s="177"/>
      <c r="B72" s="190" t="s">
        <v>1569</v>
      </c>
      <c r="C72" s="203"/>
      <c r="D72" s="203"/>
      <c r="E72" s="203"/>
      <c r="F72" s="195" t="s">
        <v>1570</v>
      </c>
      <c r="G72" s="203"/>
      <c r="H72" s="203"/>
      <c r="I72" s="203"/>
      <c r="J72" s="203"/>
      <c r="K72" s="203"/>
      <c r="L72" s="177"/>
      <c r="M72" s="177"/>
      <c r="N72" s="177"/>
      <c r="O72" s="177"/>
      <c r="P72" s="177"/>
      <c r="Q72" s="177"/>
      <c r="R72" s="177"/>
      <c r="S72" s="177"/>
      <c r="T72" s="177"/>
      <c r="U72" s="177"/>
      <c r="V72" s="177"/>
      <c r="W72" s="177"/>
      <c r="X72" s="177"/>
      <c r="Y72" s="177"/>
      <c r="Z72" s="177"/>
      <c r="AA72" s="177"/>
      <c r="AB72" s="177"/>
      <c r="AC72" s="177"/>
    </row>
    <row r="73" ht="22.5" customHeight="1">
      <c r="A73" s="177"/>
      <c r="B73" s="207" t="s">
        <v>1571</v>
      </c>
      <c r="C73" s="211"/>
      <c r="D73" s="210" t="s">
        <v>418</v>
      </c>
      <c r="E73" s="211"/>
      <c r="F73" s="211"/>
      <c r="G73" s="211"/>
      <c r="H73" s="211"/>
      <c r="I73" s="211"/>
      <c r="J73" s="211"/>
      <c r="K73" s="211"/>
      <c r="L73" s="177"/>
      <c r="M73" s="177"/>
      <c r="N73" s="177"/>
      <c r="O73" s="177"/>
      <c r="P73" s="177"/>
      <c r="Q73" s="177"/>
      <c r="R73" s="177"/>
      <c r="S73" s="177"/>
      <c r="T73" s="177"/>
      <c r="U73" s="177"/>
      <c r="V73" s="177"/>
      <c r="W73" s="177"/>
      <c r="X73" s="177"/>
      <c r="Y73" s="177"/>
      <c r="Z73" s="177"/>
      <c r="AA73" s="177"/>
      <c r="AB73" s="177"/>
      <c r="AC73" s="177"/>
    </row>
    <row r="74" ht="22.5" customHeight="1">
      <c r="A74" s="177"/>
      <c r="B74" s="190" t="s">
        <v>613</v>
      </c>
      <c r="C74" s="315"/>
      <c r="D74" s="195" t="s">
        <v>418</v>
      </c>
      <c r="E74" s="195" t="s">
        <v>1572</v>
      </c>
      <c r="F74" s="203"/>
      <c r="G74" s="203"/>
      <c r="H74" s="203"/>
      <c r="I74" s="203"/>
      <c r="J74" s="203"/>
      <c r="K74" s="203"/>
      <c r="L74" s="177"/>
      <c r="M74" s="177"/>
      <c r="N74" s="177"/>
      <c r="O74" s="177"/>
      <c r="P74" s="177"/>
      <c r="Q74" s="177"/>
      <c r="R74" s="177"/>
      <c r="S74" s="177"/>
      <c r="T74" s="177"/>
      <c r="U74" s="177"/>
      <c r="V74" s="177"/>
      <c r="W74" s="177"/>
      <c r="X74" s="177"/>
      <c r="Y74" s="177"/>
      <c r="Z74" s="177"/>
      <c r="AA74" s="177"/>
      <c r="AB74" s="177"/>
      <c r="AC74" s="177"/>
    </row>
    <row r="75" ht="22.5" customHeight="1">
      <c r="A75" s="177"/>
      <c r="B75" s="207" t="s">
        <v>525</v>
      </c>
      <c r="C75" s="207"/>
      <c r="D75" s="210"/>
      <c r="E75" s="207" t="s">
        <v>1573</v>
      </c>
      <c r="F75" s="210" t="s">
        <v>1574</v>
      </c>
      <c r="G75" s="211"/>
      <c r="H75" s="210" t="s">
        <v>1575</v>
      </c>
      <c r="I75" s="210" t="s">
        <v>125</v>
      </c>
      <c r="J75" s="210" t="s">
        <v>1576</v>
      </c>
      <c r="K75" s="210" t="s">
        <v>1577</v>
      </c>
      <c r="L75" s="177"/>
      <c r="M75" s="177"/>
      <c r="N75" s="177"/>
      <c r="O75" s="177"/>
      <c r="P75" s="177"/>
      <c r="Q75" s="177"/>
      <c r="R75" s="177"/>
      <c r="S75" s="177"/>
      <c r="T75" s="177"/>
      <c r="U75" s="177"/>
      <c r="V75" s="177"/>
      <c r="W75" s="177"/>
      <c r="X75" s="177"/>
      <c r="Y75" s="177"/>
      <c r="Z75" s="177"/>
      <c r="AA75" s="177"/>
      <c r="AB75" s="177"/>
      <c r="AC75" s="177"/>
    </row>
    <row r="76" ht="22.5" customHeight="1">
      <c r="A76" s="177"/>
      <c r="B76" s="190" t="s">
        <v>1578</v>
      </c>
      <c r="C76" s="190"/>
      <c r="D76" s="195" t="s">
        <v>1579</v>
      </c>
      <c r="E76" s="193" t="s">
        <v>1580</v>
      </c>
      <c r="F76" s="203"/>
      <c r="G76" s="203"/>
      <c r="H76" s="203"/>
      <c r="I76" s="203"/>
      <c r="J76" s="203"/>
      <c r="K76" s="203"/>
      <c r="L76" s="177"/>
      <c r="M76" s="177"/>
      <c r="N76" s="177"/>
      <c r="O76" s="177"/>
      <c r="P76" s="177"/>
      <c r="Q76" s="177"/>
      <c r="R76" s="178">
        <v>3.715E7</v>
      </c>
      <c r="S76" s="177"/>
      <c r="T76" s="177"/>
      <c r="U76" s="177"/>
      <c r="V76" s="177"/>
      <c r="W76" s="177"/>
      <c r="X76" s="177"/>
      <c r="Y76" s="177"/>
      <c r="Z76" s="177"/>
      <c r="AA76" s="177"/>
      <c r="AB76" s="177"/>
      <c r="AC76" s="177"/>
    </row>
    <row r="77" ht="22.5" customHeight="1">
      <c r="A77" s="177"/>
      <c r="B77" s="207" t="s">
        <v>1581</v>
      </c>
      <c r="C77" s="207"/>
      <c r="D77" s="210" t="s">
        <v>367</v>
      </c>
      <c r="E77" s="207" t="s">
        <v>1582</v>
      </c>
      <c r="F77" s="211"/>
      <c r="G77" s="211"/>
      <c r="H77" s="211"/>
      <c r="I77" s="211"/>
      <c r="J77" s="211"/>
      <c r="K77" s="211"/>
      <c r="L77" s="177"/>
      <c r="M77" s="177"/>
      <c r="N77" s="177"/>
      <c r="O77" s="177"/>
      <c r="P77" s="177"/>
      <c r="Q77" s="177"/>
      <c r="R77" s="177"/>
      <c r="S77" s="177"/>
      <c r="T77" s="177"/>
      <c r="U77" s="177"/>
      <c r="V77" s="177"/>
      <c r="W77" s="177"/>
      <c r="X77" s="177"/>
      <c r="Y77" s="177"/>
      <c r="Z77" s="177"/>
      <c r="AA77" s="177"/>
      <c r="AB77" s="177"/>
      <c r="AC77" s="177"/>
    </row>
    <row r="78" ht="22.5" customHeight="1">
      <c r="A78" s="177"/>
      <c r="B78" s="190" t="s">
        <v>1583</v>
      </c>
      <c r="C78" s="190"/>
      <c r="D78" s="195" t="s">
        <v>125</v>
      </c>
      <c r="E78" s="190" t="s">
        <v>1584</v>
      </c>
      <c r="F78" s="195" t="s">
        <v>1585</v>
      </c>
      <c r="G78" s="203"/>
      <c r="H78" s="195" t="s">
        <v>1586</v>
      </c>
      <c r="I78" s="195" t="s">
        <v>125</v>
      </c>
      <c r="J78" s="195" t="s">
        <v>1587</v>
      </c>
      <c r="K78" s="195"/>
      <c r="L78" s="177"/>
      <c r="M78" s="177"/>
      <c r="N78" s="177"/>
      <c r="O78" s="177"/>
      <c r="P78" s="177"/>
      <c r="Q78" s="177"/>
      <c r="R78" s="177"/>
      <c r="S78" s="177"/>
      <c r="T78" s="177"/>
      <c r="U78" s="177"/>
      <c r="V78" s="177"/>
      <c r="W78" s="177"/>
      <c r="X78" s="177"/>
      <c r="Y78" s="177"/>
      <c r="Z78" s="177"/>
      <c r="AA78" s="177"/>
      <c r="AB78" s="177"/>
      <c r="AC78" s="177"/>
    </row>
    <row r="79" ht="22.5" customHeight="1">
      <c r="A79" s="177"/>
      <c r="B79" s="190" t="s">
        <v>1588</v>
      </c>
      <c r="C79" s="194"/>
      <c r="D79" s="195" t="s">
        <v>418</v>
      </c>
      <c r="E79" s="193" t="s">
        <v>1589</v>
      </c>
      <c r="F79" s="203"/>
      <c r="G79" s="203"/>
      <c r="H79" s="203"/>
      <c r="I79" s="203"/>
      <c r="J79" s="203"/>
      <c r="K79" s="203"/>
      <c r="L79" s="177"/>
      <c r="M79" s="177"/>
      <c r="N79" s="177"/>
      <c r="O79" s="177"/>
      <c r="P79" s="177"/>
      <c r="Q79" s="177"/>
      <c r="R79" s="177"/>
      <c r="S79" s="177"/>
      <c r="T79" s="177"/>
      <c r="U79" s="177"/>
      <c r="V79" s="177"/>
      <c r="W79" s="177"/>
      <c r="X79" s="177"/>
      <c r="Y79" s="177"/>
      <c r="Z79" s="177"/>
      <c r="AA79" s="177"/>
      <c r="AB79" s="177"/>
      <c r="AC79" s="177"/>
    </row>
    <row r="80" ht="22.5" customHeight="1">
      <c r="A80" s="177"/>
      <c r="B80" s="207" t="s">
        <v>1590</v>
      </c>
      <c r="C80" s="316"/>
      <c r="D80" s="210" t="s">
        <v>418</v>
      </c>
      <c r="E80" s="316"/>
      <c r="F80" s="211"/>
      <c r="G80" s="211"/>
      <c r="H80" s="211"/>
      <c r="I80" s="211"/>
      <c r="J80" s="211"/>
      <c r="K80" s="211"/>
      <c r="L80" s="177"/>
      <c r="M80" s="177"/>
      <c r="N80" s="177"/>
      <c r="O80" s="177"/>
      <c r="P80" s="177"/>
      <c r="Q80" s="177"/>
      <c r="R80" s="177"/>
      <c r="S80" s="177"/>
      <c r="T80" s="177"/>
      <c r="U80" s="177"/>
      <c r="V80" s="177"/>
      <c r="W80" s="177"/>
      <c r="X80" s="177"/>
      <c r="Y80" s="177"/>
      <c r="Z80" s="177"/>
      <c r="AA80" s="177"/>
      <c r="AB80" s="177"/>
      <c r="AC80" s="177"/>
    </row>
    <row r="81" ht="22.5" customHeight="1">
      <c r="A81" s="177"/>
      <c r="B81" s="190" t="s">
        <v>531</v>
      </c>
      <c r="C81" s="194"/>
      <c r="D81" s="195"/>
      <c r="E81" s="193" t="s">
        <v>1591</v>
      </c>
      <c r="F81" s="210" t="s">
        <v>1592</v>
      </c>
      <c r="G81" s="203"/>
      <c r="H81" s="203"/>
      <c r="I81" s="195" t="s">
        <v>535</v>
      </c>
      <c r="J81" s="195" t="s">
        <v>533</v>
      </c>
      <c r="K81" s="195" t="s">
        <v>1593</v>
      </c>
      <c r="L81" s="177"/>
      <c r="M81" s="177"/>
      <c r="N81" s="177"/>
      <c r="O81" s="177"/>
      <c r="P81" s="177"/>
      <c r="Q81" s="177"/>
      <c r="R81" s="177"/>
      <c r="S81" s="177"/>
      <c r="T81" s="177"/>
      <c r="U81" s="177"/>
      <c r="V81" s="177"/>
      <c r="W81" s="177"/>
      <c r="X81" s="177"/>
      <c r="Y81" s="177"/>
      <c r="Z81" s="177"/>
      <c r="AA81" s="177"/>
      <c r="AB81" s="177"/>
      <c r="AC81" s="177"/>
    </row>
    <row r="82" ht="22.5" customHeight="1">
      <c r="A82" s="177"/>
      <c r="B82" s="207" t="s">
        <v>1594</v>
      </c>
      <c r="C82" s="316"/>
      <c r="D82" s="211"/>
      <c r="E82" s="210" t="s">
        <v>1595</v>
      </c>
      <c r="F82" s="211"/>
      <c r="G82" s="211"/>
      <c r="H82" s="211"/>
      <c r="I82" s="211"/>
      <c r="J82" s="211"/>
      <c r="K82" s="211"/>
      <c r="L82" s="177"/>
      <c r="M82" s="177"/>
      <c r="N82" s="177"/>
      <c r="O82" s="177"/>
      <c r="P82" s="177"/>
      <c r="Q82" s="177"/>
      <c r="R82" s="177"/>
      <c r="S82" s="177"/>
      <c r="T82" s="177"/>
      <c r="U82" s="177"/>
      <c r="V82" s="177"/>
      <c r="W82" s="177"/>
      <c r="X82" s="177"/>
      <c r="Y82" s="177"/>
      <c r="Z82" s="177"/>
      <c r="AA82" s="177"/>
      <c r="AB82" s="177"/>
      <c r="AC82" s="177"/>
    </row>
    <row r="83" ht="22.5" customHeight="1">
      <c r="A83" s="177"/>
      <c r="B83" s="190" t="s">
        <v>1596</v>
      </c>
      <c r="C83" s="194"/>
      <c r="D83" s="195" t="s">
        <v>1597</v>
      </c>
      <c r="E83" s="193" t="s">
        <v>1598</v>
      </c>
      <c r="F83" s="203"/>
      <c r="G83" s="203"/>
      <c r="H83" s="203"/>
      <c r="I83" s="203"/>
      <c r="J83" s="203"/>
      <c r="K83" s="203"/>
      <c r="L83" s="177"/>
      <c r="M83" s="177"/>
      <c r="N83" s="177"/>
      <c r="O83" s="177"/>
      <c r="P83" s="177"/>
      <c r="Q83" s="177"/>
      <c r="R83" s="177"/>
      <c r="S83" s="177"/>
      <c r="T83" s="177"/>
      <c r="U83" s="177"/>
      <c r="V83" s="177"/>
      <c r="W83" s="177"/>
      <c r="X83" s="177"/>
      <c r="Y83" s="177"/>
      <c r="Z83" s="177"/>
      <c r="AA83" s="177"/>
      <c r="AB83" s="177"/>
      <c r="AC83" s="177"/>
    </row>
    <row r="84" ht="22.5" customHeight="1">
      <c r="A84" s="177"/>
      <c r="B84" s="207" t="s">
        <v>1599</v>
      </c>
      <c r="C84" s="211"/>
      <c r="D84" s="211"/>
      <c r="E84" s="211"/>
      <c r="F84" s="211"/>
      <c r="G84" s="211"/>
      <c r="H84" s="211"/>
      <c r="I84" s="211"/>
      <c r="J84" s="211"/>
      <c r="K84" s="211"/>
      <c r="L84" s="177"/>
      <c r="M84" s="177"/>
      <c r="N84" s="177"/>
      <c r="O84" s="177"/>
      <c r="P84" s="177"/>
      <c r="Q84" s="177"/>
      <c r="R84" s="177"/>
      <c r="S84" s="177"/>
      <c r="T84" s="177"/>
      <c r="U84" s="177"/>
      <c r="V84" s="177"/>
      <c r="W84" s="177"/>
      <c r="X84" s="177"/>
      <c r="Y84" s="177"/>
      <c r="Z84" s="177"/>
      <c r="AA84" s="177"/>
      <c r="AB84" s="177"/>
      <c r="AC84" s="177"/>
    </row>
    <row r="85" ht="22.5" customHeight="1">
      <c r="A85" s="177"/>
      <c r="B85" s="194" t="s">
        <v>1600</v>
      </c>
      <c r="C85" s="203"/>
      <c r="D85" s="203"/>
      <c r="E85" s="203"/>
      <c r="F85" s="203"/>
      <c r="G85" s="203"/>
      <c r="H85" s="203"/>
      <c r="I85" s="203"/>
      <c r="J85" s="203"/>
      <c r="K85" s="203"/>
      <c r="L85" s="177"/>
      <c r="M85" s="177"/>
      <c r="N85" s="177"/>
      <c r="O85" s="177"/>
      <c r="P85" s="177"/>
      <c r="Q85" s="177"/>
      <c r="R85" s="177"/>
      <c r="S85" s="177"/>
      <c r="T85" s="177"/>
      <c r="U85" s="177"/>
      <c r="V85" s="177"/>
      <c r="W85" s="177"/>
      <c r="X85" s="177"/>
      <c r="Y85" s="177"/>
      <c r="Z85" s="177"/>
      <c r="AA85" s="177"/>
      <c r="AB85" s="177"/>
      <c r="AC85" s="177"/>
    </row>
    <row r="86" ht="22.5" customHeight="1">
      <c r="A86" s="177"/>
      <c r="B86" s="210" t="s">
        <v>1601</v>
      </c>
      <c r="C86" s="211"/>
      <c r="D86" s="210" t="s">
        <v>418</v>
      </c>
      <c r="E86" s="211"/>
      <c r="F86" s="211"/>
      <c r="G86" s="211"/>
      <c r="H86" s="211"/>
      <c r="I86" s="211"/>
      <c r="J86" s="211"/>
      <c r="K86" s="211"/>
      <c r="L86" s="177"/>
      <c r="M86" s="177"/>
      <c r="N86" s="177"/>
      <c r="O86" s="177"/>
      <c r="P86" s="177"/>
      <c r="Q86" s="177"/>
      <c r="R86" s="177"/>
      <c r="S86" s="177"/>
      <c r="T86" s="177"/>
      <c r="U86" s="177"/>
      <c r="V86" s="177"/>
      <c r="W86" s="177"/>
      <c r="X86" s="177"/>
      <c r="Y86" s="177"/>
      <c r="Z86" s="177"/>
      <c r="AA86" s="177"/>
      <c r="AB86" s="177"/>
      <c r="AC86" s="177"/>
    </row>
    <row r="87" ht="22.5" customHeight="1">
      <c r="A87" s="177"/>
      <c r="B87" s="195" t="s">
        <v>1602</v>
      </c>
      <c r="C87" s="203"/>
      <c r="D87" s="210" t="s">
        <v>418</v>
      </c>
      <c r="E87" s="203"/>
      <c r="F87" s="203"/>
      <c r="G87" s="203"/>
      <c r="H87" s="203"/>
      <c r="I87" s="203"/>
      <c r="J87" s="203"/>
      <c r="K87" s="203"/>
      <c r="L87" s="177"/>
      <c r="M87" s="177"/>
      <c r="N87" s="177"/>
      <c r="O87" s="177"/>
      <c r="P87" s="177"/>
      <c r="Q87" s="177"/>
      <c r="R87" s="177"/>
      <c r="S87" s="177"/>
      <c r="T87" s="177"/>
      <c r="U87" s="177"/>
      <c r="V87" s="177"/>
      <c r="W87" s="177"/>
      <c r="X87" s="177"/>
      <c r="Y87" s="177"/>
      <c r="Z87" s="177"/>
      <c r="AA87" s="177"/>
      <c r="AB87" s="177"/>
      <c r="AC87" s="177"/>
    </row>
    <row r="88" ht="22.5" customHeight="1">
      <c r="A88" s="177"/>
      <c r="B88" s="210" t="s">
        <v>1603</v>
      </c>
      <c r="C88" s="211"/>
      <c r="D88" s="210" t="s">
        <v>418</v>
      </c>
      <c r="E88" s="210" t="s">
        <v>1604</v>
      </c>
      <c r="F88" s="211"/>
      <c r="G88" s="211"/>
      <c r="H88" s="211"/>
      <c r="I88" s="211"/>
      <c r="J88" s="211"/>
      <c r="K88" s="211"/>
      <c r="L88" s="177"/>
      <c r="M88" s="177"/>
      <c r="N88" s="177"/>
      <c r="O88" s="177"/>
      <c r="P88" s="177"/>
      <c r="Q88" s="177"/>
      <c r="R88" s="177"/>
      <c r="S88" s="177"/>
      <c r="T88" s="177"/>
      <c r="U88" s="177"/>
      <c r="V88" s="177"/>
      <c r="W88" s="177"/>
      <c r="X88" s="177"/>
      <c r="Y88" s="177"/>
      <c r="Z88" s="177"/>
      <c r="AA88" s="177"/>
      <c r="AB88" s="177"/>
      <c r="AC88" s="177"/>
    </row>
    <row r="89" ht="22.5" customHeight="1">
      <c r="A89" s="177"/>
      <c r="B89" s="195" t="s">
        <v>1605</v>
      </c>
      <c r="C89" s="203"/>
      <c r="D89" s="210" t="s">
        <v>418</v>
      </c>
      <c r="E89" s="203"/>
      <c r="F89" s="203"/>
      <c r="G89" s="203"/>
      <c r="H89" s="203"/>
      <c r="I89" s="203"/>
      <c r="J89" s="203"/>
      <c r="K89" s="203"/>
      <c r="L89" s="177"/>
      <c r="M89" s="177"/>
      <c r="N89" s="177"/>
      <c r="O89" s="177"/>
      <c r="P89" s="177"/>
      <c r="Q89" s="177"/>
      <c r="R89" s="177"/>
      <c r="S89" s="177"/>
      <c r="T89" s="177"/>
      <c r="U89" s="177"/>
      <c r="V89" s="177"/>
      <c r="W89" s="177"/>
      <c r="X89" s="177"/>
      <c r="Y89" s="177"/>
      <c r="Z89" s="177"/>
      <c r="AA89" s="177"/>
      <c r="AB89" s="177"/>
      <c r="AC89" s="177"/>
    </row>
    <row r="90" ht="22.5" customHeight="1">
      <c r="A90" s="177"/>
      <c r="B90" s="210" t="s">
        <v>1606</v>
      </c>
      <c r="C90" s="211"/>
      <c r="D90" s="210" t="s">
        <v>418</v>
      </c>
      <c r="E90" s="211"/>
      <c r="F90" s="211"/>
      <c r="G90" s="211"/>
      <c r="H90" s="211"/>
      <c r="I90" s="211"/>
      <c r="J90" s="211"/>
      <c r="K90" s="211"/>
      <c r="L90" s="177"/>
      <c r="M90" s="177"/>
      <c r="N90" s="177"/>
      <c r="O90" s="177"/>
      <c r="P90" s="177"/>
      <c r="Q90" s="177"/>
      <c r="R90" s="177"/>
      <c r="S90" s="177"/>
      <c r="T90" s="177"/>
      <c r="U90" s="177"/>
      <c r="V90" s="177"/>
      <c r="W90" s="177"/>
      <c r="X90" s="177"/>
      <c r="Y90" s="177"/>
      <c r="Z90" s="177"/>
      <c r="AA90" s="177"/>
      <c r="AB90" s="177"/>
      <c r="AC90" s="177"/>
    </row>
    <row r="91" ht="22.5" customHeight="1">
      <c r="A91" s="177"/>
      <c r="B91" s="195" t="s">
        <v>1607</v>
      </c>
      <c r="C91" s="203"/>
      <c r="D91" s="210" t="s">
        <v>418</v>
      </c>
      <c r="E91" s="203"/>
      <c r="F91" s="203"/>
      <c r="G91" s="203"/>
      <c r="H91" s="203"/>
      <c r="I91" s="203"/>
      <c r="J91" s="203"/>
      <c r="K91" s="203"/>
      <c r="L91" s="177"/>
      <c r="M91" s="177"/>
      <c r="N91" s="177"/>
      <c r="O91" s="177"/>
      <c r="P91" s="177"/>
      <c r="Q91" s="177"/>
      <c r="R91" s="177"/>
      <c r="S91" s="177"/>
      <c r="T91" s="177"/>
      <c r="U91" s="177"/>
      <c r="V91" s="177"/>
      <c r="W91" s="177"/>
      <c r="X91" s="177"/>
      <c r="Y91" s="177"/>
      <c r="Z91" s="177"/>
      <c r="AA91" s="177"/>
      <c r="AB91" s="177"/>
      <c r="AC91" s="177"/>
    </row>
    <row r="92" ht="22.5" customHeight="1">
      <c r="A92" s="177"/>
      <c r="B92" s="195" t="s">
        <v>1608</v>
      </c>
      <c r="C92" s="203"/>
      <c r="D92" s="210" t="s">
        <v>418</v>
      </c>
      <c r="E92" s="203"/>
      <c r="F92" s="203"/>
      <c r="G92" s="203"/>
      <c r="H92" s="203"/>
      <c r="I92" s="203"/>
      <c r="J92" s="203"/>
      <c r="K92" s="203"/>
      <c r="L92" s="177"/>
      <c r="M92" s="177"/>
      <c r="N92" s="177"/>
      <c r="O92" s="177"/>
      <c r="P92" s="177"/>
      <c r="Q92" s="177"/>
      <c r="R92" s="177"/>
      <c r="S92" s="177"/>
      <c r="T92" s="177"/>
      <c r="U92" s="177"/>
      <c r="V92" s="177"/>
      <c r="W92" s="177"/>
      <c r="X92" s="177"/>
      <c r="Y92" s="177"/>
      <c r="Z92" s="177"/>
      <c r="AA92" s="177"/>
      <c r="AB92" s="177"/>
      <c r="AC92" s="177"/>
    </row>
    <row r="93" ht="22.5" customHeight="1">
      <c r="A93" s="177"/>
      <c r="B93" s="195" t="s">
        <v>1609</v>
      </c>
      <c r="C93" s="203"/>
      <c r="D93" s="210" t="s">
        <v>418</v>
      </c>
      <c r="E93" s="203"/>
      <c r="F93" s="203"/>
      <c r="G93" s="203"/>
      <c r="H93" s="203"/>
      <c r="I93" s="203"/>
      <c r="J93" s="203"/>
      <c r="K93" s="203"/>
      <c r="L93" s="177"/>
      <c r="M93" s="177"/>
      <c r="N93" s="177"/>
      <c r="O93" s="177"/>
      <c r="P93" s="177"/>
      <c r="Q93" s="177"/>
      <c r="R93" s="177"/>
      <c r="S93" s="177"/>
      <c r="T93" s="177"/>
      <c r="U93" s="177"/>
      <c r="V93" s="177"/>
      <c r="W93" s="177"/>
      <c r="X93" s="177"/>
      <c r="Y93" s="177"/>
      <c r="Z93" s="177"/>
      <c r="AA93" s="177"/>
      <c r="AB93" s="177"/>
      <c r="AC93" s="177"/>
    </row>
    <row r="94" ht="22.5" customHeight="1">
      <c r="A94" s="177"/>
      <c r="B94" s="195" t="s">
        <v>1610</v>
      </c>
      <c r="C94" s="203"/>
      <c r="D94" s="210" t="s">
        <v>90</v>
      </c>
      <c r="E94" s="203"/>
      <c r="F94" s="203"/>
      <c r="G94" s="203"/>
      <c r="H94" s="203"/>
      <c r="I94" s="203"/>
      <c r="J94" s="203"/>
      <c r="K94" s="203"/>
      <c r="L94" s="177"/>
      <c r="M94" s="177"/>
      <c r="N94" s="177"/>
      <c r="O94" s="177"/>
      <c r="P94" s="177"/>
      <c r="Q94" s="177"/>
      <c r="R94" s="177"/>
      <c r="S94" s="177"/>
      <c r="T94" s="177"/>
      <c r="U94" s="177"/>
      <c r="V94" s="177"/>
      <c r="W94" s="177"/>
      <c r="X94" s="177"/>
      <c r="Y94" s="177"/>
      <c r="Z94" s="177"/>
      <c r="AA94" s="177"/>
      <c r="AB94" s="177"/>
      <c r="AC94" s="177"/>
    </row>
    <row r="95" ht="22.5" customHeight="1">
      <c r="A95" s="177"/>
      <c r="B95" s="315"/>
      <c r="C95" s="203"/>
      <c r="D95" s="315"/>
      <c r="E95" s="203"/>
      <c r="F95" s="203"/>
      <c r="G95" s="203"/>
      <c r="H95" s="203"/>
      <c r="I95" s="203"/>
      <c r="J95" s="203"/>
      <c r="K95" s="203"/>
      <c r="L95" s="177"/>
      <c r="M95" s="177"/>
      <c r="N95" s="177"/>
      <c r="O95" s="177"/>
      <c r="P95" s="177"/>
      <c r="Q95" s="177"/>
      <c r="R95" s="177"/>
      <c r="S95" s="177"/>
      <c r="T95" s="177"/>
      <c r="U95" s="177"/>
      <c r="V95" s="177"/>
      <c r="W95" s="177"/>
      <c r="X95" s="177"/>
      <c r="Y95" s="177"/>
      <c r="Z95" s="177"/>
      <c r="AA95" s="177"/>
      <c r="AB95" s="177"/>
      <c r="AC95" s="177"/>
    </row>
    <row r="96" ht="22.5" customHeight="1">
      <c r="A96" s="177"/>
      <c r="B96" s="316"/>
      <c r="C96" s="211"/>
      <c r="D96" s="316"/>
      <c r="E96" s="211"/>
      <c r="F96" s="211"/>
      <c r="G96" s="211"/>
      <c r="H96" s="211"/>
      <c r="I96" s="211"/>
      <c r="J96" s="211"/>
      <c r="K96" s="211"/>
      <c r="L96" s="177"/>
      <c r="M96" s="177"/>
      <c r="N96" s="177"/>
      <c r="O96" s="177"/>
      <c r="P96" s="177"/>
      <c r="Q96" s="177"/>
      <c r="R96" s="177"/>
      <c r="S96" s="177"/>
      <c r="T96" s="177"/>
      <c r="U96" s="177"/>
      <c r="V96" s="177"/>
      <c r="W96" s="177"/>
      <c r="X96" s="177"/>
      <c r="Y96" s="177"/>
      <c r="Z96" s="177"/>
      <c r="AA96" s="177"/>
      <c r="AB96" s="177"/>
      <c r="AC96" s="177"/>
    </row>
    <row r="97" ht="22.5" customHeight="1">
      <c r="A97" s="177"/>
      <c r="B97" s="315"/>
      <c r="C97" s="203"/>
      <c r="D97" s="315"/>
      <c r="E97" s="203"/>
      <c r="F97" s="203"/>
      <c r="G97" s="203"/>
      <c r="H97" s="203"/>
      <c r="I97" s="203"/>
      <c r="J97" s="203"/>
      <c r="K97" s="203"/>
      <c r="L97" s="177"/>
      <c r="M97" s="177"/>
      <c r="N97" s="177"/>
      <c r="O97" s="177"/>
      <c r="P97" s="177"/>
      <c r="Q97" s="177"/>
      <c r="R97" s="177"/>
      <c r="S97" s="177"/>
      <c r="T97" s="177"/>
      <c r="U97" s="177"/>
      <c r="V97" s="177"/>
      <c r="W97" s="177"/>
      <c r="X97" s="177"/>
      <c r="Y97" s="177"/>
      <c r="Z97" s="177"/>
      <c r="AA97" s="177"/>
      <c r="AB97" s="177"/>
      <c r="AC97" s="177"/>
    </row>
    <row r="98" ht="22.5" customHeight="1">
      <c r="A98" s="177"/>
      <c r="B98" s="316"/>
      <c r="C98" s="211"/>
      <c r="D98" s="316"/>
      <c r="E98" s="211"/>
      <c r="F98" s="211"/>
      <c r="G98" s="211"/>
      <c r="H98" s="211"/>
      <c r="I98" s="211"/>
      <c r="J98" s="211"/>
      <c r="K98" s="211"/>
      <c r="L98" s="177"/>
      <c r="M98" s="177"/>
      <c r="N98" s="177"/>
      <c r="O98" s="177"/>
      <c r="P98" s="177"/>
      <c r="Q98" s="177"/>
      <c r="R98" s="177"/>
      <c r="S98" s="177"/>
      <c r="T98" s="177"/>
      <c r="U98" s="177"/>
      <c r="V98" s="177"/>
      <c r="W98" s="177"/>
      <c r="X98" s="177"/>
      <c r="Y98" s="177"/>
      <c r="Z98" s="177"/>
      <c r="AA98" s="177"/>
      <c r="AB98" s="177"/>
      <c r="AC98" s="177"/>
    </row>
    <row r="99">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row>
    <row r="100">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c r="AB100" s="177"/>
      <c r="AC100" s="177"/>
    </row>
    <row r="101">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c r="AA101" s="177"/>
      <c r="AB101" s="177"/>
      <c r="AC101" s="177"/>
    </row>
    <row r="102">
      <c r="A102" s="177"/>
      <c r="B102" s="178" t="s">
        <v>105</v>
      </c>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row>
    <row r="103">
      <c r="A103" s="177"/>
      <c r="B103" s="178" t="s">
        <v>1611</v>
      </c>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row>
    <row r="104">
      <c r="A104" s="177"/>
      <c r="B104" s="178" t="s">
        <v>1612</v>
      </c>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row>
    <row r="105">
      <c r="A105" s="177"/>
      <c r="B105" s="178" t="s">
        <v>1613</v>
      </c>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c r="AB105" s="177"/>
      <c r="AC105" s="177"/>
    </row>
    <row r="106">
      <c r="A106" s="177"/>
      <c r="B106" s="178" t="s">
        <v>1614</v>
      </c>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c r="AA106" s="177"/>
      <c r="AB106" s="177"/>
      <c r="AC106" s="177"/>
    </row>
    <row r="107">
      <c r="A107" s="177"/>
      <c r="B107" s="178" t="s">
        <v>1615</v>
      </c>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row>
    <row r="108">
      <c r="A108" s="317"/>
      <c r="B108" s="178" t="s">
        <v>1616</v>
      </c>
      <c r="C108" s="177"/>
      <c r="D108" s="177"/>
      <c r="E108" s="177"/>
      <c r="F108" s="177"/>
      <c r="G108" s="177"/>
      <c r="H108" s="177"/>
      <c r="I108" s="177"/>
      <c r="J108" s="177"/>
      <c r="K108" s="177"/>
      <c r="L108" s="317"/>
      <c r="M108" s="317"/>
      <c r="N108" s="317"/>
      <c r="O108" s="317"/>
      <c r="P108" s="317"/>
      <c r="Q108" s="317"/>
      <c r="R108" s="317"/>
      <c r="S108" s="317"/>
      <c r="T108" s="317"/>
      <c r="U108" s="317"/>
      <c r="V108" s="317"/>
      <c r="W108" s="317"/>
      <c r="X108" s="317"/>
      <c r="Y108" s="317"/>
      <c r="Z108" s="317"/>
      <c r="AA108" s="317"/>
      <c r="AB108" s="317"/>
      <c r="AC108" s="317"/>
    </row>
    <row r="109">
      <c r="A109" s="178">
        <v>1.0</v>
      </c>
      <c r="B109" s="178" t="s">
        <v>1617</v>
      </c>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c r="AA109" s="177"/>
      <c r="AB109" s="177"/>
      <c r="AC109" s="177"/>
    </row>
    <row r="110">
      <c r="A110" s="178">
        <v>2.0</v>
      </c>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c r="AA110" s="177"/>
      <c r="AB110" s="177"/>
      <c r="AC110" s="177"/>
    </row>
    <row r="111">
      <c r="A111" s="178">
        <v>3.0</v>
      </c>
      <c r="B111" s="318" t="s">
        <v>1618</v>
      </c>
      <c r="C111" s="317"/>
      <c r="D111" s="317"/>
      <c r="E111" s="317"/>
      <c r="F111" s="317"/>
      <c r="G111" s="317"/>
      <c r="H111" s="317"/>
      <c r="I111" s="317"/>
      <c r="J111" s="317"/>
      <c r="K111" s="317"/>
      <c r="L111" s="177"/>
      <c r="M111" s="177"/>
      <c r="N111" s="177"/>
      <c r="O111" s="177"/>
      <c r="P111" s="177"/>
      <c r="Q111" s="177"/>
      <c r="R111" s="177"/>
      <c r="S111" s="177"/>
      <c r="T111" s="177"/>
      <c r="U111" s="177"/>
      <c r="V111" s="177"/>
      <c r="W111" s="177"/>
      <c r="X111" s="177"/>
      <c r="Y111" s="177"/>
      <c r="Z111" s="177"/>
      <c r="AA111" s="177"/>
      <c r="AB111" s="177"/>
      <c r="AC111" s="177"/>
    </row>
    <row r="112">
      <c r="A112" s="178">
        <v>4.0</v>
      </c>
      <c r="B112" s="178" t="s">
        <v>1619</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row>
    <row r="113">
      <c r="A113" s="178">
        <v>5.0</v>
      </c>
      <c r="B113" s="178"/>
      <c r="C113" s="178"/>
      <c r="D113" s="178"/>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c r="AA113" s="177"/>
      <c r="AB113" s="177"/>
      <c r="AC113" s="177"/>
    </row>
    <row r="114">
      <c r="A114" s="178">
        <v>6.0</v>
      </c>
      <c r="B114" s="178"/>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c r="AA114" s="177"/>
      <c r="AB114" s="177"/>
      <c r="AC114" s="177"/>
    </row>
    <row r="115">
      <c r="A115" s="178">
        <v>7.0</v>
      </c>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c r="AA115" s="177"/>
      <c r="AB115" s="177"/>
      <c r="AC115" s="177"/>
    </row>
    <row r="116">
      <c r="A116" s="178">
        <v>8.0</v>
      </c>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row>
    <row r="117">
      <c r="A117" s="178">
        <v>9.0</v>
      </c>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c r="AA117" s="177"/>
      <c r="AB117" s="177"/>
      <c r="AC117" s="177"/>
    </row>
    <row r="118">
      <c r="A118" s="178">
        <v>10.0</v>
      </c>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row>
    <row r="119">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c r="AA119" s="177"/>
      <c r="AB119" s="177"/>
      <c r="AC119" s="177"/>
    </row>
    <row r="120">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row>
    <row r="121">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c r="AA121" s="177"/>
      <c r="AB121" s="177"/>
      <c r="AC121" s="177"/>
    </row>
    <row r="122">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177"/>
      <c r="AB122" s="177"/>
      <c r="AC122" s="177"/>
    </row>
    <row r="123">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c r="AA123" s="177"/>
      <c r="AB123" s="177"/>
      <c r="AC123" s="177"/>
    </row>
    <row r="124">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row>
    <row r="125">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c r="AA125" s="177"/>
      <c r="AB125" s="177"/>
      <c r="AC125" s="177"/>
    </row>
    <row r="126">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177"/>
      <c r="AB126" s="177"/>
      <c r="AC126" s="177"/>
    </row>
    <row r="127">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c r="AA127" s="177"/>
      <c r="AB127" s="177"/>
      <c r="AC127" s="177"/>
    </row>
    <row r="128">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row>
    <row r="129">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c r="AA129" s="177"/>
      <c r="AB129" s="177"/>
      <c r="AC129" s="177"/>
    </row>
    <row r="130">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177"/>
      <c r="AB130" s="177"/>
      <c r="AC130" s="177"/>
    </row>
    <row r="131">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c r="AA131" s="177"/>
      <c r="AB131" s="177"/>
      <c r="AC131" s="177"/>
    </row>
    <row r="132">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177"/>
      <c r="AB132" s="177"/>
      <c r="AC132" s="177"/>
    </row>
    <row r="133">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c r="AA133" s="177"/>
      <c r="AB133" s="177"/>
      <c r="AC133" s="177"/>
    </row>
    <row r="134">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177"/>
      <c r="AB134" s="177"/>
      <c r="AC134" s="177"/>
    </row>
    <row r="135">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c r="AA135" s="177"/>
      <c r="AB135" s="177"/>
      <c r="AC135" s="177"/>
    </row>
    <row r="136">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177"/>
      <c r="AB136" s="177"/>
      <c r="AC136" s="177"/>
    </row>
    <row r="137">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c r="AA137" s="177"/>
      <c r="AB137" s="177"/>
      <c r="AC137" s="177"/>
    </row>
    <row r="138">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177"/>
      <c r="AB138" s="177"/>
      <c r="AC138" s="177"/>
    </row>
    <row r="139">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c r="AA139" s="177"/>
      <c r="AB139" s="177"/>
      <c r="AC139" s="177"/>
    </row>
    <row r="140">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177"/>
      <c r="AB140" s="177"/>
      <c r="AC140" s="177"/>
    </row>
    <row r="141">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c r="AA141" s="177"/>
      <c r="AB141" s="177"/>
      <c r="AC141" s="177"/>
    </row>
    <row r="142">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177"/>
      <c r="AB142" s="177"/>
      <c r="AC142" s="177"/>
    </row>
    <row r="143">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c r="AA143" s="177"/>
      <c r="AB143" s="177"/>
      <c r="AC143" s="177"/>
    </row>
    <row r="144">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177"/>
      <c r="AB144" s="177"/>
      <c r="AC144" s="177"/>
    </row>
    <row r="145">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c r="AA145" s="177"/>
      <c r="AB145" s="177"/>
      <c r="AC145" s="177"/>
    </row>
    <row r="146">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row>
    <row r="147">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c r="AA147" s="177"/>
      <c r="AB147" s="177"/>
      <c r="AC147" s="177"/>
    </row>
    <row r="148">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row>
    <row r="149">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c r="AA149" s="177"/>
      <c r="AB149" s="177"/>
      <c r="AC149" s="177"/>
    </row>
    <row r="150">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177"/>
      <c r="AB150" s="177"/>
      <c r="AC150" s="177"/>
    </row>
    <row r="151">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c r="AA151" s="177"/>
      <c r="AB151" s="177"/>
      <c r="AC151" s="177"/>
    </row>
    <row r="152">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177"/>
      <c r="AB152" s="177"/>
      <c r="AC152" s="177"/>
    </row>
    <row r="153">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c r="AA153" s="177"/>
      <c r="AB153" s="177"/>
      <c r="AC153" s="177"/>
    </row>
    <row r="154">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177"/>
      <c r="AB154" s="177"/>
      <c r="AC154" s="177"/>
    </row>
    <row r="155">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c r="AA155" s="177"/>
      <c r="AB155" s="177"/>
      <c r="AC155" s="177"/>
    </row>
    <row r="156">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177"/>
      <c r="AB156" s="177"/>
      <c r="AC156" s="177"/>
    </row>
    <row r="157">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c r="AA157" s="177"/>
      <c r="AB157" s="177"/>
      <c r="AC157" s="177"/>
    </row>
    <row r="158">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177"/>
      <c r="AB158" s="177"/>
      <c r="AC158" s="177"/>
    </row>
    <row r="159">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c r="AA159" s="177"/>
      <c r="AB159" s="177"/>
      <c r="AC159" s="177"/>
    </row>
    <row r="160">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177"/>
      <c r="AB160" s="177"/>
      <c r="AC160" s="177"/>
    </row>
    <row r="161">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c r="AA161" s="177"/>
      <c r="AB161" s="177"/>
      <c r="AC161" s="177"/>
    </row>
    <row r="162">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177"/>
      <c r="AB162" s="177"/>
      <c r="AC162" s="177"/>
    </row>
    <row r="163">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c r="AA163" s="177"/>
      <c r="AB163" s="177"/>
      <c r="AC163" s="177"/>
    </row>
    <row r="164">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177"/>
      <c r="AB164" s="177"/>
      <c r="AC164" s="177"/>
    </row>
    <row r="165">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c r="AA165" s="177"/>
      <c r="AB165" s="177"/>
      <c r="AC165" s="177"/>
    </row>
    <row r="166">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177"/>
      <c r="AB166" s="177"/>
      <c r="AC166" s="177"/>
    </row>
    <row r="167">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c r="AA167" s="177"/>
      <c r="AB167" s="177"/>
      <c r="AC167" s="177"/>
    </row>
    <row r="168">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177"/>
      <c r="AB168" s="177"/>
      <c r="AC168" s="177"/>
    </row>
    <row r="169">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c r="AA169" s="177"/>
      <c r="AB169" s="177"/>
      <c r="AC169" s="177"/>
    </row>
    <row r="170">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177"/>
      <c r="AB170" s="177"/>
      <c r="AC170" s="177"/>
    </row>
    <row r="171">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c r="AA171" s="177"/>
      <c r="AB171" s="177"/>
      <c r="AC171" s="177"/>
    </row>
    <row r="172">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177"/>
      <c r="AB172" s="177"/>
      <c r="AC172" s="177"/>
    </row>
    <row r="173">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c r="AA173" s="177"/>
      <c r="AB173" s="177"/>
      <c r="AC173" s="177"/>
    </row>
    <row r="174">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177"/>
      <c r="AB174" s="177"/>
      <c r="AC174" s="177"/>
    </row>
    <row r="175">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c r="AA175" s="177"/>
      <c r="AB175" s="177"/>
      <c r="AC175" s="177"/>
    </row>
    <row r="176">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177"/>
      <c r="AB176" s="177"/>
      <c r="AC176" s="177"/>
    </row>
    <row r="177">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c r="AA177" s="177"/>
      <c r="AB177" s="177"/>
      <c r="AC177" s="177"/>
    </row>
    <row r="178">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177"/>
      <c r="AB178" s="177"/>
      <c r="AC178" s="177"/>
    </row>
    <row r="179">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c r="AA179" s="177"/>
      <c r="AB179" s="177"/>
      <c r="AC179" s="177"/>
    </row>
    <row r="180">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177"/>
      <c r="AB180" s="177"/>
      <c r="AC180" s="177"/>
    </row>
    <row r="181">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c r="AA181" s="177"/>
      <c r="AB181" s="177"/>
      <c r="AC181" s="177"/>
    </row>
    <row r="182">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177"/>
      <c r="AB182" s="177"/>
      <c r="AC182" s="177"/>
    </row>
    <row r="183">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c r="AA183" s="177"/>
      <c r="AB183" s="177"/>
      <c r="AC183" s="177"/>
    </row>
    <row r="184">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177"/>
      <c r="AB184" s="177"/>
      <c r="AC184" s="177"/>
    </row>
    <row r="185">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c r="AA185" s="177"/>
      <c r="AB185" s="177"/>
      <c r="AC185" s="177"/>
    </row>
    <row r="186">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177"/>
      <c r="AB186" s="177"/>
      <c r="AC186" s="177"/>
    </row>
    <row r="187">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c r="AA187" s="177"/>
      <c r="AB187" s="177"/>
      <c r="AC187" s="177"/>
    </row>
    <row r="188">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177"/>
      <c r="AB188" s="177"/>
      <c r="AC188" s="177"/>
    </row>
    <row r="189">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c r="AA189" s="177"/>
      <c r="AB189" s="177"/>
      <c r="AC189" s="177"/>
    </row>
    <row r="190">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177"/>
      <c r="AB190" s="177"/>
      <c r="AC190" s="177"/>
    </row>
    <row r="191">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c r="AA191" s="177"/>
      <c r="AB191" s="177"/>
      <c r="AC191" s="177"/>
    </row>
    <row r="192">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177"/>
      <c r="AB192" s="177"/>
      <c r="AC192" s="177"/>
    </row>
    <row r="193">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c r="AA193" s="177"/>
      <c r="AB193" s="177"/>
      <c r="AC193" s="177"/>
    </row>
    <row r="194">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177"/>
      <c r="AB194" s="177"/>
      <c r="AC194" s="177"/>
    </row>
    <row r="195">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c r="AA195" s="177"/>
      <c r="AB195" s="177"/>
      <c r="AC195" s="177"/>
    </row>
    <row r="196">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177"/>
      <c r="AB196" s="177"/>
      <c r="AC196" s="177"/>
    </row>
    <row r="197">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c r="AA197" s="177"/>
      <c r="AB197" s="177"/>
      <c r="AC197" s="177"/>
    </row>
    <row r="198">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177"/>
      <c r="AB198" s="177"/>
      <c r="AC198" s="177"/>
    </row>
    <row r="199">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c r="AA199" s="177"/>
      <c r="AB199" s="177"/>
      <c r="AC199" s="177"/>
    </row>
    <row r="200">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c r="AA200" s="177"/>
      <c r="AB200" s="177"/>
      <c r="AC200" s="177"/>
    </row>
    <row r="201">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c r="AA201" s="177"/>
      <c r="AB201" s="177"/>
      <c r="AC201" s="177"/>
    </row>
    <row r="202">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c r="AA202" s="177"/>
      <c r="AB202" s="177"/>
      <c r="AC202" s="177"/>
    </row>
    <row r="203">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c r="AA203" s="177"/>
      <c r="AB203" s="177"/>
      <c r="AC203" s="177"/>
    </row>
    <row r="204">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c r="AA204" s="177"/>
      <c r="AB204" s="177"/>
      <c r="AC204" s="177"/>
    </row>
    <row r="205">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c r="AA205" s="177"/>
      <c r="AB205" s="177"/>
      <c r="AC205" s="177"/>
    </row>
    <row r="206">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c r="AA206" s="177"/>
      <c r="AB206" s="177"/>
      <c r="AC206" s="177"/>
    </row>
    <row r="207">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c r="AA207" s="177"/>
      <c r="AB207" s="177"/>
      <c r="AC207" s="177"/>
    </row>
    <row r="208">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c r="AA208" s="177"/>
      <c r="AB208" s="177"/>
      <c r="AC208" s="177"/>
    </row>
    <row r="209">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c r="AA209" s="177"/>
      <c r="AB209" s="177"/>
      <c r="AC209" s="177"/>
    </row>
    <row r="210">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c r="AA210" s="177"/>
      <c r="AB210" s="177"/>
      <c r="AC210" s="177"/>
    </row>
    <row r="211">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c r="AA211" s="177"/>
      <c r="AB211" s="177"/>
      <c r="AC211" s="177"/>
    </row>
    <row r="212">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row>
    <row r="213">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row>
    <row r="214">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row>
    <row r="215">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c r="AA215" s="177"/>
      <c r="AB215" s="177"/>
      <c r="AC215" s="177"/>
    </row>
    <row r="216">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c r="AA216" s="177"/>
      <c r="AB216" s="177"/>
      <c r="AC216" s="177"/>
    </row>
    <row r="217">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c r="AA217" s="177"/>
      <c r="AB217" s="177"/>
      <c r="AC217" s="177"/>
    </row>
    <row r="218">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row>
    <row r="219">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row>
    <row r="220">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row>
    <row r="221">
      <c r="A221" s="177"/>
      <c r="B221" s="177"/>
      <c r="C221" s="177"/>
      <c r="D221" s="177"/>
      <c r="E221" s="177"/>
      <c r="F221" s="177"/>
      <c r="G221" s="177"/>
      <c r="H221" s="177"/>
      <c r="I221" s="177"/>
      <c r="J221" s="177"/>
      <c r="K221" s="177"/>
      <c r="L221" s="177"/>
      <c r="M221" s="177"/>
      <c r="N221" s="177"/>
      <c r="O221" s="177"/>
      <c r="P221" s="177"/>
      <c r="Q221" s="177"/>
      <c r="R221" s="177"/>
      <c r="S221" s="177"/>
      <c r="T221" s="177"/>
      <c r="U221" s="177"/>
      <c r="V221" s="177"/>
      <c r="W221" s="177"/>
      <c r="X221" s="177"/>
      <c r="Y221" s="177"/>
      <c r="Z221" s="177"/>
      <c r="AA221" s="177"/>
      <c r="AB221" s="177"/>
      <c r="AC221" s="177"/>
    </row>
    <row r="222">
      <c r="A222" s="177"/>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row>
    <row r="223">
      <c r="A223" s="177"/>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row>
    <row r="224">
      <c r="A224" s="177"/>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row>
    <row r="225">
      <c r="A225" s="177"/>
      <c r="B225" s="177"/>
      <c r="C225" s="177"/>
      <c r="D225" s="177"/>
      <c r="E225" s="177"/>
      <c r="F225" s="177"/>
      <c r="G225" s="177"/>
      <c r="H225" s="177"/>
      <c r="I225" s="177"/>
      <c r="J225" s="177"/>
      <c r="K225" s="177"/>
      <c r="L225" s="177"/>
      <c r="M225" s="177"/>
      <c r="N225" s="177"/>
      <c r="O225" s="177"/>
      <c r="P225" s="177"/>
      <c r="Q225" s="177"/>
      <c r="R225" s="177"/>
      <c r="S225" s="177"/>
      <c r="T225" s="177"/>
      <c r="U225" s="177"/>
      <c r="V225" s="177"/>
      <c r="W225" s="177"/>
      <c r="X225" s="177"/>
      <c r="Y225" s="177"/>
      <c r="Z225" s="177"/>
      <c r="AA225" s="177"/>
      <c r="AB225" s="177"/>
      <c r="AC225" s="177"/>
    </row>
    <row r="226">
      <c r="A226" s="177"/>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row>
    <row r="227">
      <c r="A227" s="177"/>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row>
    <row r="228">
      <c r="A228" s="177"/>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row>
    <row r="229">
      <c r="A229" s="177"/>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row>
    <row r="230">
      <c r="A230" s="177"/>
      <c r="B230" s="177"/>
      <c r="C230" s="177"/>
      <c r="D230" s="177"/>
      <c r="E230" s="177"/>
      <c r="F230" s="177"/>
      <c r="G230" s="177"/>
      <c r="H230" s="177"/>
      <c r="I230" s="177"/>
      <c r="J230" s="177"/>
      <c r="K230" s="177"/>
      <c r="L230" s="177"/>
      <c r="M230" s="177"/>
      <c r="N230" s="177"/>
      <c r="O230" s="177"/>
      <c r="P230" s="177"/>
      <c r="Q230" s="177"/>
      <c r="R230" s="177"/>
      <c r="S230" s="177"/>
      <c r="T230" s="177"/>
      <c r="U230" s="177"/>
      <c r="V230" s="177"/>
      <c r="W230" s="177"/>
      <c r="X230" s="177"/>
      <c r="Y230" s="177"/>
      <c r="Z230" s="177"/>
      <c r="AA230" s="177"/>
      <c r="AB230" s="177"/>
      <c r="AC230" s="177"/>
    </row>
    <row r="231">
      <c r="A231" s="177"/>
      <c r="B231" s="177"/>
      <c r="C231" s="177"/>
      <c r="D231" s="177"/>
      <c r="E231" s="177"/>
      <c r="F231" s="177"/>
      <c r="G231" s="177"/>
      <c r="H231" s="177"/>
      <c r="I231" s="177"/>
      <c r="J231" s="177"/>
      <c r="K231" s="177"/>
      <c r="L231" s="177"/>
      <c r="M231" s="177"/>
      <c r="N231" s="177"/>
      <c r="O231" s="177"/>
      <c r="P231" s="177"/>
      <c r="Q231" s="177"/>
      <c r="R231" s="177"/>
      <c r="S231" s="177"/>
      <c r="T231" s="177"/>
      <c r="U231" s="177"/>
      <c r="V231" s="177"/>
      <c r="W231" s="177"/>
      <c r="X231" s="177"/>
      <c r="Y231" s="177"/>
      <c r="Z231" s="177"/>
      <c r="AA231" s="177"/>
      <c r="AB231" s="177"/>
      <c r="AC231" s="177"/>
    </row>
    <row r="232">
      <c r="A232" s="177"/>
      <c r="B232" s="177"/>
      <c r="C232" s="177"/>
      <c r="D232" s="177"/>
      <c r="E232" s="177"/>
      <c r="F232" s="177"/>
      <c r="G232" s="177"/>
      <c r="H232" s="177"/>
      <c r="I232" s="177"/>
      <c r="J232" s="177"/>
      <c r="K232" s="177"/>
      <c r="L232" s="177"/>
      <c r="M232" s="177"/>
      <c r="N232" s="177"/>
      <c r="O232" s="177"/>
      <c r="P232" s="177"/>
      <c r="Q232" s="177"/>
      <c r="R232" s="177"/>
      <c r="S232" s="177"/>
      <c r="T232" s="177"/>
      <c r="U232" s="177"/>
      <c r="V232" s="177"/>
      <c r="W232" s="177"/>
      <c r="X232" s="177"/>
      <c r="Y232" s="177"/>
      <c r="Z232" s="177"/>
      <c r="AA232" s="177"/>
      <c r="AB232" s="177"/>
      <c r="AC232" s="177"/>
    </row>
    <row r="233">
      <c r="A233" s="177"/>
      <c r="B233" s="177"/>
      <c r="C233" s="177"/>
      <c r="D233" s="177"/>
      <c r="E233" s="177"/>
      <c r="F233" s="177"/>
      <c r="G233" s="177"/>
      <c r="H233" s="177"/>
      <c r="I233" s="177"/>
      <c r="J233" s="177"/>
      <c r="K233" s="177"/>
      <c r="L233" s="177"/>
      <c r="M233" s="177"/>
      <c r="N233" s="177"/>
      <c r="O233" s="177"/>
      <c r="P233" s="177"/>
      <c r="Q233" s="177"/>
      <c r="R233" s="177"/>
      <c r="S233" s="177"/>
      <c r="T233" s="177"/>
      <c r="U233" s="177"/>
      <c r="V233" s="177"/>
      <c r="W233" s="177"/>
      <c r="X233" s="177"/>
      <c r="Y233" s="177"/>
      <c r="Z233" s="177"/>
      <c r="AA233" s="177"/>
      <c r="AB233" s="177"/>
      <c r="AC233" s="177"/>
    </row>
    <row r="234">
      <c r="A234" s="177"/>
      <c r="B234" s="177"/>
      <c r="C234" s="177"/>
      <c r="D234" s="177"/>
      <c r="E234" s="177"/>
      <c r="F234" s="177"/>
      <c r="G234" s="177"/>
      <c r="H234" s="177"/>
      <c r="I234" s="177"/>
      <c r="J234" s="177"/>
      <c r="K234" s="177"/>
      <c r="L234" s="177"/>
      <c r="M234" s="177"/>
      <c r="N234" s="177"/>
      <c r="O234" s="177"/>
      <c r="P234" s="177"/>
      <c r="Q234" s="177"/>
      <c r="R234" s="177"/>
      <c r="S234" s="177"/>
      <c r="T234" s="177"/>
      <c r="U234" s="177"/>
      <c r="V234" s="177"/>
      <c r="W234" s="177"/>
      <c r="X234" s="177"/>
      <c r="Y234" s="177"/>
      <c r="Z234" s="177"/>
      <c r="AA234" s="177"/>
      <c r="AB234" s="177"/>
      <c r="AC234" s="177"/>
    </row>
    <row r="235">
      <c r="A235" s="177"/>
      <c r="B235" s="177"/>
      <c r="C235" s="177"/>
      <c r="D235" s="177"/>
      <c r="E235" s="177"/>
      <c r="F235" s="177"/>
      <c r="G235" s="177"/>
      <c r="H235" s="177"/>
      <c r="I235" s="177"/>
      <c r="J235" s="177"/>
      <c r="K235" s="177"/>
      <c r="L235" s="177"/>
      <c r="M235" s="177"/>
      <c r="N235" s="177"/>
      <c r="O235" s="177"/>
      <c r="P235" s="177"/>
      <c r="Q235" s="177"/>
      <c r="R235" s="177"/>
      <c r="S235" s="177"/>
      <c r="T235" s="177"/>
      <c r="U235" s="177"/>
      <c r="V235" s="177"/>
      <c r="W235" s="177"/>
      <c r="X235" s="177"/>
      <c r="Y235" s="177"/>
      <c r="Z235" s="177"/>
      <c r="AA235" s="177"/>
      <c r="AB235" s="177"/>
      <c r="AC235" s="177"/>
    </row>
    <row r="236">
      <c r="A236" s="177"/>
      <c r="B236" s="177"/>
      <c r="C236" s="177"/>
      <c r="D236" s="177"/>
      <c r="E236" s="177"/>
      <c r="F236" s="177"/>
      <c r="G236" s="177"/>
      <c r="H236" s="177"/>
      <c r="I236" s="177"/>
      <c r="J236" s="177"/>
      <c r="K236" s="177"/>
      <c r="L236" s="177"/>
      <c r="M236" s="177"/>
      <c r="N236" s="177"/>
      <c r="O236" s="177"/>
      <c r="P236" s="177"/>
      <c r="Q236" s="177"/>
      <c r="R236" s="177"/>
      <c r="S236" s="177"/>
      <c r="T236" s="177"/>
      <c r="U236" s="177"/>
      <c r="V236" s="177"/>
      <c r="W236" s="177"/>
      <c r="X236" s="177"/>
      <c r="Y236" s="177"/>
      <c r="Z236" s="177"/>
      <c r="AA236" s="177"/>
      <c r="AB236" s="177"/>
      <c r="AC236" s="177"/>
    </row>
    <row r="237">
      <c r="A237" s="177"/>
      <c r="B237" s="177"/>
      <c r="C237" s="177"/>
      <c r="D237" s="177"/>
      <c r="E237" s="177"/>
      <c r="F237" s="177"/>
      <c r="G237" s="177"/>
      <c r="H237" s="177"/>
      <c r="I237" s="177"/>
      <c r="J237" s="177"/>
      <c r="K237" s="177"/>
      <c r="L237" s="177"/>
      <c r="M237" s="177"/>
      <c r="N237" s="177"/>
      <c r="O237" s="177"/>
      <c r="P237" s="177"/>
      <c r="Q237" s="177"/>
      <c r="R237" s="177"/>
      <c r="S237" s="177"/>
      <c r="T237" s="177"/>
      <c r="U237" s="177"/>
      <c r="V237" s="177"/>
      <c r="W237" s="177"/>
      <c r="X237" s="177"/>
      <c r="Y237" s="177"/>
      <c r="Z237" s="177"/>
      <c r="AA237" s="177"/>
      <c r="AB237" s="177"/>
      <c r="AC237" s="177"/>
    </row>
    <row r="238">
      <c r="A238" s="177"/>
      <c r="B238" s="177"/>
      <c r="C238" s="177"/>
      <c r="D238" s="177"/>
      <c r="E238" s="177"/>
      <c r="F238" s="177"/>
      <c r="G238" s="177"/>
      <c r="H238" s="177"/>
      <c r="I238" s="177"/>
      <c r="J238" s="177"/>
      <c r="K238" s="177"/>
      <c r="L238" s="177"/>
      <c r="M238" s="177"/>
      <c r="N238" s="177"/>
      <c r="O238" s="177"/>
      <c r="P238" s="177"/>
      <c r="Q238" s="177"/>
      <c r="R238" s="177"/>
      <c r="S238" s="177"/>
      <c r="T238" s="177"/>
      <c r="U238" s="177"/>
      <c r="V238" s="177"/>
      <c r="W238" s="177"/>
      <c r="X238" s="177"/>
      <c r="Y238" s="177"/>
      <c r="Z238" s="177"/>
      <c r="AA238" s="177"/>
      <c r="AB238" s="177"/>
      <c r="AC238" s="177"/>
    </row>
    <row r="239">
      <c r="A239" s="177"/>
      <c r="B239" s="177"/>
      <c r="C239" s="177"/>
      <c r="D239" s="177"/>
      <c r="E239" s="177"/>
      <c r="F239" s="177"/>
      <c r="G239" s="177"/>
      <c r="H239" s="177"/>
      <c r="I239" s="177"/>
      <c r="J239" s="177"/>
      <c r="K239" s="177"/>
      <c r="L239" s="177"/>
      <c r="M239" s="177"/>
      <c r="N239" s="177"/>
      <c r="O239" s="177"/>
      <c r="P239" s="177"/>
      <c r="Q239" s="177"/>
      <c r="R239" s="177"/>
      <c r="S239" s="177"/>
      <c r="T239" s="177"/>
      <c r="U239" s="177"/>
      <c r="V239" s="177"/>
      <c r="W239" s="177"/>
      <c r="X239" s="177"/>
      <c r="Y239" s="177"/>
      <c r="Z239" s="177"/>
      <c r="AA239" s="177"/>
      <c r="AB239" s="177"/>
      <c r="AC239" s="177"/>
    </row>
    <row r="240">
      <c r="A240" s="177"/>
      <c r="B240" s="177"/>
      <c r="C240" s="177"/>
      <c r="D240" s="177"/>
      <c r="E240" s="177"/>
      <c r="F240" s="177"/>
      <c r="G240" s="177"/>
      <c r="H240" s="177"/>
      <c r="I240" s="177"/>
      <c r="J240" s="177"/>
      <c r="K240" s="177"/>
      <c r="L240" s="177"/>
      <c r="M240" s="177"/>
      <c r="N240" s="177"/>
      <c r="O240" s="177"/>
      <c r="P240" s="177"/>
      <c r="Q240" s="177"/>
      <c r="R240" s="177"/>
      <c r="S240" s="177"/>
      <c r="T240" s="177"/>
      <c r="U240" s="177"/>
      <c r="V240" s="177"/>
      <c r="W240" s="177"/>
      <c r="X240" s="177"/>
      <c r="Y240" s="177"/>
      <c r="Z240" s="177"/>
      <c r="AA240" s="177"/>
      <c r="AB240" s="177"/>
      <c r="AC240" s="177"/>
    </row>
    <row r="241">
      <c r="A241" s="177"/>
      <c r="B241" s="177"/>
      <c r="C241" s="177"/>
      <c r="D241" s="177"/>
      <c r="E241" s="177"/>
      <c r="F241" s="177"/>
      <c r="G241" s="177"/>
      <c r="H241" s="177"/>
      <c r="I241" s="177"/>
      <c r="J241" s="177"/>
      <c r="K241" s="177"/>
      <c r="L241" s="177"/>
      <c r="M241" s="177"/>
      <c r="N241" s="177"/>
      <c r="O241" s="177"/>
      <c r="P241" s="177"/>
      <c r="Q241" s="177"/>
      <c r="R241" s="177"/>
      <c r="S241" s="177"/>
      <c r="T241" s="177"/>
      <c r="U241" s="177"/>
      <c r="V241" s="177"/>
      <c r="W241" s="177"/>
      <c r="X241" s="177"/>
      <c r="Y241" s="177"/>
      <c r="Z241" s="177"/>
      <c r="AA241" s="177"/>
      <c r="AB241" s="177"/>
      <c r="AC241" s="177"/>
    </row>
    <row r="242">
      <c r="A242" s="177"/>
      <c r="B242" s="177"/>
      <c r="C242" s="177"/>
      <c r="D242" s="177"/>
      <c r="E242" s="177"/>
      <c r="F242" s="177"/>
      <c r="G242" s="177"/>
      <c r="H242" s="177"/>
      <c r="I242" s="177"/>
      <c r="J242" s="177"/>
      <c r="K242" s="177"/>
      <c r="L242" s="177"/>
      <c r="M242" s="177"/>
      <c r="N242" s="177"/>
      <c r="O242" s="177"/>
      <c r="P242" s="177"/>
      <c r="Q242" s="177"/>
      <c r="R242" s="177"/>
      <c r="S242" s="177"/>
      <c r="T242" s="177"/>
      <c r="U242" s="177"/>
      <c r="V242" s="177"/>
      <c r="W242" s="177"/>
      <c r="X242" s="177"/>
      <c r="Y242" s="177"/>
      <c r="Z242" s="177"/>
      <c r="AA242" s="177"/>
      <c r="AB242" s="177"/>
      <c r="AC242" s="177"/>
    </row>
    <row r="243">
      <c r="A243" s="177"/>
      <c r="B243" s="177"/>
      <c r="C243" s="177"/>
      <c r="D243" s="177"/>
      <c r="E243" s="177"/>
      <c r="F243" s="177"/>
      <c r="G243" s="177"/>
      <c r="H243" s="177"/>
      <c r="I243" s="177"/>
      <c r="J243" s="177"/>
      <c r="K243" s="177"/>
      <c r="L243" s="177"/>
      <c r="M243" s="177"/>
      <c r="N243" s="177"/>
      <c r="O243" s="177"/>
      <c r="P243" s="177"/>
      <c r="Q243" s="177"/>
      <c r="R243" s="177"/>
      <c r="S243" s="177"/>
      <c r="T243" s="177"/>
      <c r="U243" s="177"/>
      <c r="V243" s="177"/>
      <c r="W243" s="177"/>
      <c r="X243" s="177"/>
      <c r="Y243" s="177"/>
      <c r="Z243" s="177"/>
      <c r="AA243" s="177"/>
      <c r="AB243" s="177"/>
      <c r="AC243" s="177"/>
    </row>
    <row r="244">
      <c r="A244" s="177"/>
      <c r="B244" s="177"/>
      <c r="C244" s="177"/>
      <c r="D244" s="177"/>
      <c r="E244" s="177"/>
      <c r="F244" s="177"/>
      <c r="G244" s="177"/>
      <c r="H244" s="177"/>
      <c r="I244" s="177"/>
      <c r="J244" s="177"/>
      <c r="K244" s="177"/>
      <c r="L244" s="177"/>
      <c r="M244" s="177"/>
      <c r="N244" s="177"/>
      <c r="O244" s="177"/>
      <c r="P244" s="177"/>
      <c r="Q244" s="177"/>
      <c r="R244" s="177"/>
      <c r="S244" s="177"/>
      <c r="T244" s="177"/>
      <c r="U244" s="177"/>
      <c r="V244" s="177"/>
      <c r="W244" s="177"/>
      <c r="X244" s="177"/>
      <c r="Y244" s="177"/>
      <c r="Z244" s="177"/>
      <c r="AA244" s="177"/>
      <c r="AB244" s="177"/>
      <c r="AC244" s="177"/>
    </row>
    <row r="245">
      <c r="A245" s="177"/>
      <c r="B245" s="177"/>
      <c r="C245" s="177"/>
      <c r="D245" s="177"/>
      <c r="E245" s="177"/>
      <c r="F245" s="177"/>
      <c r="G245" s="177"/>
      <c r="H245" s="177"/>
      <c r="I245" s="177"/>
      <c r="J245" s="177"/>
      <c r="K245" s="177"/>
      <c r="L245" s="177"/>
      <c r="M245" s="177"/>
      <c r="N245" s="177"/>
      <c r="O245" s="177"/>
      <c r="P245" s="177"/>
      <c r="Q245" s="177"/>
      <c r="R245" s="177"/>
      <c r="S245" s="177"/>
      <c r="T245" s="177"/>
      <c r="U245" s="177"/>
      <c r="V245" s="177"/>
      <c r="W245" s="177"/>
      <c r="X245" s="177"/>
      <c r="Y245" s="177"/>
      <c r="Z245" s="177"/>
      <c r="AA245" s="177"/>
      <c r="AB245" s="177"/>
      <c r="AC245" s="177"/>
    </row>
    <row r="246">
      <c r="A246" s="177"/>
      <c r="B246" s="177"/>
      <c r="C246" s="177"/>
      <c r="D246" s="177"/>
      <c r="E246" s="177"/>
      <c r="F246" s="177"/>
      <c r="G246" s="177"/>
      <c r="H246" s="177"/>
      <c r="I246" s="177"/>
      <c r="J246" s="177"/>
      <c r="K246" s="177"/>
      <c r="L246" s="177"/>
      <c r="M246" s="177"/>
      <c r="N246" s="177"/>
      <c r="O246" s="177"/>
      <c r="P246" s="177"/>
      <c r="Q246" s="177"/>
      <c r="R246" s="177"/>
      <c r="S246" s="177"/>
      <c r="T246" s="177"/>
      <c r="U246" s="177"/>
      <c r="V246" s="177"/>
      <c r="W246" s="177"/>
      <c r="X246" s="177"/>
      <c r="Y246" s="177"/>
      <c r="Z246" s="177"/>
      <c r="AA246" s="177"/>
      <c r="AB246" s="177"/>
      <c r="AC246" s="177"/>
    </row>
    <row r="247">
      <c r="A247" s="177"/>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row>
    <row r="248">
      <c r="A248" s="177"/>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row>
    <row r="249">
      <c r="A249" s="177"/>
      <c r="B249" s="177"/>
      <c r="C249" s="177"/>
      <c r="D249" s="177"/>
      <c r="E249" s="177"/>
      <c r="F249" s="177"/>
      <c r="G249" s="177"/>
      <c r="H249" s="177"/>
      <c r="I249" s="177"/>
      <c r="J249" s="177"/>
      <c r="K249" s="177"/>
      <c r="L249" s="177"/>
      <c r="M249" s="177"/>
      <c r="N249" s="177"/>
      <c r="O249" s="177"/>
      <c r="P249" s="177"/>
      <c r="Q249" s="177"/>
      <c r="R249" s="177"/>
      <c r="S249" s="177"/>
      <c r="T249" s="177"/>
      <c r="U249" s="177"/>
      <c r="V249" s="177"/>
      <c r="W249" s="177"/>
      <c r="X249" s="177"/>
      <c r="Y249" s="177"/>
      <c r="Z249" s="177"/>
      <c r="AA249" s="177"/>
      <c r="AB249" s="177"/>
      <c r="AC249" s="177"/>
    </row>
    <row r="250">
      <c r="A250" s="177"/>
      <c r="B250" s="177"/>
      <c r="C250" s="177"/>
      <c r="D250" s="177"/>
      <c r="E250" s="177"/>
      <c r="F250" s="177"/>
      <c r="G250" s="177"/>
      <c r="H250" s="177"/>
      <c r="I250" s="177"/>
      <c r="J250" s="177"/>
      <c r="K250" s="177"/>
      <c r="L250" s="177"/>
      <c r="M250" s="177"/>
      <c r="N250" s="177"/>
      <c r="O250" s="177"/>
      <c r="P250" s="177"/>
      <c r="Q250" s="177"/>
      <c r="R250" s="177"/>
      <c r="S250" s="177"/>
      <c r="T250" s="177"/>
      <c r="U250" s="177"/>
      <c r="V250" s="177"/>
      <c r="W250" s="177"/>
      <c r="X250" s="177"/>
      <c r="Y250" s="177"/>
      <c r="Z250" s="177"/>
      <c r="AA250" s="177"/>
      <c r="AB250" s="177"/>
      <c r="AC250" s="177"/>
    </row>
    <row r="251">
      <c r="A251" s="177"/>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row>
    <row r="252">
      <c r="A252" s="177"/>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row>
    <row r="253">
      <c r="A253" s="177"/>
      <c r="B253" s="177"/>
      <c r="C253" s="177"/>
      <c r="D253" s="177"/>
      <c r="E253" s="177"/>
      <c r="F253" s="177"/>
      <c r="G253" s="177"/>
      <c r="H253" s="177"/>
      <c r="I253" s="177"/>
      <c r="J253" s="177"/>
      <c r="K253" s="177"/>
      <c r="L253" s="177"/>
      <c r="M253" s="177"/>
      <c r="N253" s="177"/>
      <c r="O253" s="177"/>
      <c r="P253" s="177"/>
      <c r="Q253" s="177"/>
      <c r="R253" s="177"/>
      <c r="S253" s="177"/>
      <c r="T253" s="177"/>
      <c r="U253" s="177"/>
      <c r="V253" s="177"/>
      <c r="W253" s="177"/>
      <c r="X253" s="177"/>
      <c r="Y253" s="177"/>
      <c r="Z253" s="177"/>
      <c r="AA253" s="177"/>
      <c r="AB253" s="177"/>
      <c r="AC253" s="177"/>
    </row>
    <row r="254">
      <c r="A254" s="177"/>
      <c r="B254" s="177"/>
      <c r="C254" s="177"/>
      <c r="D254" s="177"/>
      <c r="E254" s="177"/>
      <c r="F254" s="177"/>
      <c r="G254" s="177"/>
      <c r="H254" s="177"/>
      <c r="I254" s="177"/>
      <c r="J254" s="177"/>
      <c r="K254" s="177"/>
      <c r="L254" s="177"/>
      <c r="M254" s="177"/>
      <c r="N254" s="177"/>
      <c r="O254" s="177"/>
      <c r="P254" s="177"/>
      <c r="Q254" s="177"/>
      <c r="R254" s="177"/>
      <c r="S254" s="177"/>
      <c r="T254" s="177"/>
      <c r="U254" s="177"/>
      <c r="V254" s="177"/>
      <c r="W254" s="177"/>
      <c r="X254" s="177"/>
      <c r="Y254" s="177"/>
      <c r="Z254" s="177"/>
      <c r="AA254" s="177"/>
      <c r="AB254" s="177"/>
      <c r="AC254" s="177"/>
    </row>
    <row r="255">
      <c r="A255" s="177"/>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row>
    <row r="256">
      <c r="A256" s="177"/>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row>
    <row r="257">
      <c r="A257" s="177"/>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row>
    <row r="258">
      <c r="A258" s="177"/>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row>
    <row r="259">
      <c r="A259" s="177"/>
      <c r="B259" s="177"/>
      <c r="C259" s="177"/>
      <c r="D259" s="177"/>
      <c r="E259" s="177"/>
      <c r="F259" s="177"/>
      <c r="G259" s="177"/>
      <c r="H259" s="177"/>
      <c r="I259" s="177"/>
      <c r="J259" s="177"/>
      <c r="K259" s="177"/>
      <c r="L259" s="177"/>
      <c r="M259" s="177"/>
      <c r="N259" s="177"/>
      <c r="O259" s="177"/>
      <c r="P259" s="177"/>
      <c r="Q259" s="177"/>
      <c r="R259" s="177"/>
      <c r="S259" s="177"/>
      <c r="T259" s="177"/>
      <c r="U259" s="177"/>
      <c r="V259" s="177"/>
      <c r="W259" s="177"/>
      <c r="X259" s="177"/>
      <c r="Y259" s="177"/>
      <c r="Z259" s="177"/>
      <c r="AA259" s="177"/>
      <c r="AB259" s="177"/>
      <c r="AC259" s="177"/>
    </row>
    <row r="260">
      <c r="A260" s="177"/>
      <c r="B260" s="177"/>
      <c r="C260" s="177"/>
      <c r="D260" s="177"/>
      <c r="E260" s="177"/>
      <c r="F260" s="177"/>
      <c r="G260" s="177"/>
      <c r="H260" s="177"/>
      <c r="I260" s="177"/>
      <c r="J260" s="177"/>
      <c r="K260" s="177"/>
      <c r="L260" s="177"/>
      <c r="M260" s="177"/>
      <c r="N260" s="177"/>
      <c r="O260" s="177"/>
      <c r="P260" s="177"/>
      <c r="Q260" s="177"/>
      <c r="R260" s="177"/>
      <c r="S260" s="177"/>
      <c r="T260" s="177"/>
      <c r="U260" s="177"/>
      <c r="V260" s="177"/>
      <c r="W260" s="177"/>
      <c r="X260" s="177"/>
      <c r="Y260" s="177"/>
      <c r="Z260" s="177"/>
      <c r="AA260" s="177"/>
      <c r="AB260" s="177"/>
      <c r="AC260" s="177"/>
    </row>
    <row r="261">
      <c r="A261" s="177"/>
      <c r="B261" s="177"/>
      <c r="C261" s="177"/>
      <c r="D261" s="177"/>
      <c r="E261" s="177"/>
      <c r="F261" s="177"/>
      <c r="G261" s="177"/>
      <c r="H261" s="177"/>
      <c r="I261" s="177"/>
      <c r="J261" s="177"/>
      <c r="K261" s="177"/>
      <c r="L261" s="177"/>
      <c r="M261" s="177"/>
      <c r="N261" s="177"/>
      <c r="O261" s="177"/>
      <c r="P261" s="177"/>
      <c r="Q261" s="177"/>
      <c r="R261" s="177"/>
      <c r="S261" s="177"/>
      <c r="T261" s="177"/>
      <c r="U261" s="177"/>
      <c r="V261" s="177"/>
      <c r="W261" s="177"/>
      <c r="X261" s="177"/>
      <c r="Y261" s="177"/>
      <c r="Z261" s="177"/>
      <c r="AA261" s="177"/>
      <c r="AB261" s="177"/>
      <c r="AC261" s="177"/>
    </row>
    <row r="262">
      <c r="A262" s="177"/>
      <c r="B262" s="177"/>
      <c r="C262" s="177"/>
      <c r="D262" s="177"/>
      <c r="E262" s="177"/>
      <c r="F262" s="177"/>
      <c r="G262" s="177"/>
      <c r="H262" s="177"/>
      <c r="I262" s="177"/>
      <c r="J262" s="177"/>
      <c r="K262" s="177"/>
      <c r="L262" s="177"/>
      <c r="M262" s="177"/>
      <c r="N262" s="177"/>
      <c r="O262" s="177"/>
      <c r="P262" s="177"/>
      <c r="Q262" s="177"/>
      <c r="R262" s="177"/>
      <c r="S262" s="177"/>
      <c r="T262" s="177"/>
      <c r="U262" s="177"/>
      <c r="V262" s="177"/>
      <c r="W262" s="177"/>
      <c r="X262" s="177"/>
      <c r="Y262" s="177"/>
      <c r="Z262" s="177"/>
      <c r="AA262" s="177"/>
      <c r="AB262" s="177"/>
      <c r="AC262" s="177"/>
    </row>
    <row r="263">
      <c r="A263" s="177"/>
      <c r="B263" s="177"/>
      <c r="C263" s="177"/>
      <c r="D263" s="177"/>
      <c r="E263" s="177"/>
      <c r="F263" s="177"/>
      <c r="G263" s="177"/>
      <c r="H263" s="177"/>
      <c r="I263" s="177"/>
      <c r="J263" s="177"/>
      <c r="K263" s="177"/>
      <c r="L263" s="177"/>
      <c r="M263" s="177"/>
      <c r="N263" s="177"/>
      <c r="O263" s="177"/>
      <c r="P263" s="177"/>
      <c r="Q263" s="177"/>
      <c r="R263" s="177"/>
      <c r="S263" s="177"/>
      <c r="T263" s="177"/>
      <c r="U263" s="177"/>
      <c r="V263" s="177"/>
      <c r="W263" s="177"/>
      <c r="X263" s="177"/>
      <c r="Y263" s="177"/>
      <c r="Z263" s="177"/>
      <c r="AA263" s="177"/>
      <c r="AB263" s="177"/>
      <c r="AC263" s="177"/>
    </row>
    <row r="264">
      <c r="A264" s="177"/>
      <c r="B264" s="177"/>
      <c r="C264" s="177"/>
      <c r="D264" s="177"/>
      <c r="E264" s="177"/>
      <c r="F264" s="177"/>
      <c r="G264" s="177"/>
      <c r="H264" s="177"/>
      <c r="I264" s="177"/>
      <c r="J264" s="177"/>
      <c r="K264" s="177"/>
      <c r="L264" s="177"/>
      <c r="M264" s="177"/>
      <c r="N264" s="177"/>
      <c r="O264" s="177"/>
      <c r="P264" s="177"/>
      <c r="Q264" s="177"/>
      <c r="R264" s="177"/>
      <c r="S264" s="177"/>
      <c r="T264" s="177"/>
      <c r="U264" s="177"/>
      <c r="V264" s="177"/>
      <c r="W264" s="177"/>
      <c r="X264" s="177"/>
      <c r="Y264" s="177"/>
      <c r="Z264" s="177"/>
      <c r="AA264" s="177"/>
      <c r="AB264" s="177"/>
      <c r="AC264" s="177"/>
    </row>
    <row r="265">
      <c r="A265" s="177"/>
      <c r="B265" s="177"/>
      <c r="C265" s="177"/>
      <c r="D265" s="177"/>
      <c r="E265" s="177"/>
      <c r="F265" s="177"/>
      <c r="G265" s="177"/>
      <c r="H265" s="177"/>
      <c r="I265" s="177"/>
      <c r="J265" s="177"/>
      <c r="K265" s="177"/>
      <c r="L265" s="177"/>
      <c r="M265" s="177"/>
      <c r="N265" s="177"/>
      <c r="O265" s="177"/>
      <c r="P265" s="177"/>
      <c r="Q265" s="177"/>
      <c r="R265" s="177"/>
      <c r="S265" s="177"/>
      <c r="T265" s="177"/>
      <c r="U265" s="177"/>
      <c r="V265" s="177"/>
      <c r="W265" s="177"/>
      <c r="X265" s="177"/>
      <c r="Y265" s="177"/>
      <c r="Z265" s="177"/>
      <c r="AA265" s="177"/>
      <c r="AB265" s="177"/>
      <c r="AC265" s="177"/>
    </row>
    <row r="266">
      <c r="A266" s="177"/>
      <c r="B266" s="177"/>
      <c r="C266" s="177"/>
      <c r="D266" s="177"/>
      <c r="E266" s="177"/>
      <c r="F266" s="177"/>
      <c r="G266" s="177"/>
      <c r="H266" s="177"/>
      <c r="I266" s="177"/>
      <c r="J266" s="177"/>
      <c r="K266" s="177"/>
      <c r="L266" s="177"/>
      <c r="M266" s="177"/>
      <c r="N266" s="177"/>
      <c r="O266" s="177"/>
      <c r="P266" s="177"/>
      <c r="Q266" s="177"/>
      <c r="R266" s="177"/>
      <c r="S266" s="177"/>
      <c r="T266" s="177"/>
      <c r="U266" s="177"/>
      <c r="V266" s="177"/>
      <c r="W266" s="177"/>
      <c r="X266" s="177"/>
      <c r="Y266" s="177"/>
      <c r="Z266" s="177"/>
      <c r="AA266" s="177"/>
      <c r="AB266" s="177"/>
      <c r="AC266" s="177"/>
    </row>
    <row r="267">
      <c r="A267" s="177"/>
      <c r="B267" s="177"/>
      <c r="C267" s="177"/>
      <c r="D267" s="177"/>
      <c r="E267" s="177"/>
      <c r="F267" s="177"/>
      <c r="G267" s="177"/>
      <c r="H267" s="177"/>
      <c r="I267" s="177"/>
      <c r="J267" s="177"/>
      <c r="K267" s="177"/>
      <c r="L267" s="177"/>
      <c r="M267" s="177"/>
      <c r="N267" s="177"/>
      <c r="O267" s="177"/>
      <c r="P267" s="177"/>
      <c r="Q267" s="177"/>
      <c r="R267" s="177"/>
      <c r="S267" s="177"/>
      <c r="T267" s="177"/>
      <c r="U267" s="177"/>
      <c r="V267" s="177"/>
      <c r="W267" s="177"/>
      <c r="X267" s="177"/>
      <c r="Y267" s="177"/>
      <c r="Z267" s="177"/>
      <c r="AA267" s="177"/>
      <c r="AB267" s="177"/>
      <c r="AC267" s="177"/>
    </row>
    <row r="268">
      <c r="A268" s="177"/>
      <c r="B268" s="177"/>
      <c r="C268" s="177"/>
      <c r="D268" s="177"/>
      <c r="E268" s="177"/>
      <c r="F268" s="177"/>
      <c r="G268" s="177"/>
      <c r="H268" s="177"/>
      <c r="I268" s="177"/>
      <c r="J268" s="177"/>
      <c r="K268" s="177"/>
      <c r="L268" s="177"/>
      <c r="M268" s="177"/>
      <c r="N268" s="177"/>
      <c r="O268" s="177"/>
      <c r="P268" s="177"/>
      <c r="Q268" s="177"/>
      <c r="R268" s="177"/>
      <c r="S268" s="177"/>
      <c r="T268" s="177"/>
      <c r="U268" s="177"/>
      <c r="V268" s="177"/>
      <c r="W268" s="177"/>
      <c r="X268" s="177"/>
      <c r="Y268" s="177"/>
      <c r="Z268" s="177"/>
      <c r="AA268" s="177"/>
      <c r="AB268" s="177"/>
      <c r="AC268" s="177"/>
    </row>
    <row r="269">
      <c r="A269" s="177"/>
      <c r="B269" s="177"/>
      <c r="C269" s="177"/>
      <c r="D269" s="177"/>
      <c r="E269" s="177"/>
      <c r="F269" s="177"/>
      <c r="G269" s="177"/>
      <c r="H269" s="177"/>
      <c r="I269" s="177"/>
      <c r="J269" s="177"/>
      <c r="K269" s="177"/>
      <c r="L269" s="177"/>
      <c r="M269" s="177"/>
      <c r="N269" s="177"/>
      <c r="O269" s="177"/>
      <c r="P269" s="177"/>
      <c r="Q269" s="177"/>
      <c r="R269" s="177"/>
      <c r="S269" s="177"/>
      <c r="T269" s="177"/>
      <c r="U269" s="177"/>
      <c r="V269" s="177"/>
      <c r="W269" s="177"/>
      <c r="X269" s="177"/>
      <c r="Y269" s="177"/>
      <c r="Z269" s="177"/>
      <c r="AA269" s="177"/>
      <c r="AB269" s="177"/>
      <c r="AC269" s="177"/>
    </row>
    <row r="270">
      <c r="A270" s="177"/>
      <c r="B270" s="177"/>
      <c r="C270" s="177"/>
      <c r="D270" s="177"/>
      <c r="E270" s="177"/>
      <c r="F270" s="177"/>
      <c r="G270" s="177"/>
      <c r="H270" s="177"/>
      <c r="I270" s="177"/>
      <c r="J270" s="177"/>
      <c r="K270" s="177"/>
      <c r="L270" s="177"/>
      <c r="M270" s="177"/>
      <c r="N270" s="177"/>
      <c r="O270" s="177"/>
      <c r="P270" s="177"/>
      <c r="Q270" s="177"/>
      <c r="R270" s="177"/>
      <c r="S270" s="177"/>
      <c r="T270" s="177"/>
      <c r="U270" s="177"/>
      <c r="V270" s="177"/>
      <c r="W270" s="177"/>
      <c r="X270" s="177"/>
      <c r="Y270" s="177"/>
      <c r="Z270" s="177"/>
      <c r="AA270" s="177"/>
      <c r="AB270" s="177"/>
      <c r="AC270" s="177"/>
    </row>
    <row r="271">
      <c r="A271" s="177"/>
      <c r="B271" s="177"/>
      <c r="C271" s="177"/>
      <c r="D271" s="177"/>
      <c r="E271" s="177"/>
      <c r="F271" s="177"/>
      <c r="G271" s="177"/>
      <c r="H271" s="177"/>
      <c r="I271" s="177"/>
      <c r="J271" s="177"/>
      <c r="K271" s="177"/>
      <c r="L271" s="177"/>
      <c r="M271" s="177"/>
      <c r="N271" s="177"/>
      <c r="O271" s="177"/>
      <c r="P271" s="177"/>
      <c r="Q271" s="177"/>
      <c r="R271" s="177"/>
      <c r="S271" s="177"/>
      <c r="T271" s="177"/>
      <c r="U271" s="177"/>
      <c r="V271" s="177"/>
      <c r="W271" s="177"/>
      <c r="X271" s="177"/>
      <c r="Y271" s="177"/>
      <c r="Z271" s="177"/>
      <c r="AA271" s="177"/>
      <c r="AB271" s="177"/>
      <c r="AC271" s="177"/>
    </row>
    <row r="272">
      <c r="A272" s="177"/>
      <c r="B272" s="177"/>
      <c r="C272" s="177"/>
      <c r="D272" s="177"/>
      <c r="E272" s="177"/>
      <c r="F272" s="177"/>
      <c r="G272" s="177"/>
      <c r="H272" s="177"/>
      <c r="I272" s="177"/>
      <c r="J272" s="177"/>
      <c r="K272" s="177"/>
      <c r="L272" s="177"/>
      <c r="M272" s="177"/>
      <c r="N272" s="177"/>
      <c r="O272" s="177"/>
      <c r="P272" s="177"/>
      <c r="Q272" s="177"/>
      <c r="R272" s="177"/>
      <c r="S272" s="177"/>
      <c r="T272" s="177"/>
      <c r="U272" s="177"/>
      <c r="V272" s="177"/>
      <c r="W272" s="177"/>
      <c r="X272" s="177"/>
      <c r="Y272" s="177"/>
      <c r="Z272" s="177"/>
      <c r="AA272" s="177"/>
      <c r="AB272" s="177"/>
      <c r="AC272" s="177"/>
    </row>
    <row r="273">
      <c r="A273" s="177"/>
      <c r="B273" s="177"/>
      <c r="C273" s="177"/>
      <c r="D273" s="177"/>
      <c r="E273" s="177"/>
      <c r="F273" s="177"/>
      <c r="G273" s="177"/>
      <c r="H273" s="177"/>
      <c r="I273" s="177"/>
      <c r="J273" s="177"/>
      <c r="K273" s="177"/>
      <c r="L273" s="177"/>
      <c r="M273" s="177"/>
      <c r="N273" s="177"/>
      <c r="O273" s="177"/>
      <c r="P273" s="177"/>
      <c r="Q273" s="177"/>
      <c r="R273" s="177"/>
      <c r="S273" s="177"/>
      <c r="T273" s="177"/>
      <c r="U273" s="177"/>
      <c r="V273" s="177"/>
      <c r="W273" s="177"/>
      <c r="X273" s="177"/>
      <c r="Y273" s="177"/>
      <c r="Z273" s="177"/>
      <c r="AA273" s="177"/>
      <c r="AB273" s="177"/>
      <c r="AC273" s="177"/>
    </row>
    <row r="274">
      <c r="A274" s="177"/>
      <c r="B274" s="177"/>
      <c r="C274" s="177"/>
      <c r="D274" s="177"/>
      <c r="E274" s="177"/>
      <c r="F274" s="177"/>
      <c r="G274" s="177"/>
      <c r="H274" s="177"/>
      <c r="I274" s="177"/>
      <c r="J274" s="177"/>
      <c r="K274" s="177"/>
      <c r="L274" s="177"/>
      <c r="M274" s="177"/>
      <c r="N274" s="177"/>
      <c r="O274" s="177"/>
      <c r="P274" s="177"/>
      <c r="Q274" s="177"/>
      <c r="R274" s="177"/>
      <c r="S274" s="177"/>
      <c r="T274" s="177"/>
      <c r="U274" s="177"/>
      <c r="V274" s="177"/>
      <c r="W274" s="177"/>
      <c r="X274" s="177"/>
      <c r="Y274" s="177"/>
      <c r="Z274" s="177"/>
      <c r="AA274" s="177"/>
      <c r="AB274" s="177"/>
      <c r="AC274" s="177"/>
    </row>
    <row r="275">
      <c r="A275" s="177"/>
      <c r="B275" s="177"/>
      <c r="C275" s="177"/>
      <c r="D275" s="177"/>
      <c r="E275" s="177"/>
      <c r="F275" s="177"/>
      <c r="G275" s="177"/>
      <c r="H275" s="177"/>
      <c r="I275" s="177"/>
      <c r="J275" s="177"/>
      <c r="K275" s="177"/>
      <c r="L275" s="177"/>
      <c r="M275" s="177"/>
      <c r="N275" s="177"/>
      <c r="O275" s="177"/>
      <c r="P275" s="177"/>
      <c r="Q275" s="177"/>
      <c r="R275" s="177"/>
      <c r="S275" s="177"/>
      <c r="T275" s="177"/>
      <c r="U275" s="177"/>
      <c r="V275" s="177"/>
      <c r="W275" s="177"/>
      <c r="X275" s="177"/>
      <c r="Y275" s="177"/>
      <c r="Z275" s="177"/>
      <c r="AA275" s="177"/>
      <c r="AB275" s="177"/>
      <c r="AC275" s="177"/>
    </row>
    <row r="276">
      <c r="A276" s="177"/>
      <c r="B276" s="177"/>
      <c r="C276" s="177"/>
      <c r="D276" s="177"/>
      <c r="E276" s="177"/>
      <c r="F276" s="177"/>
      <c r="G276" s="177"/>
      <c r="H276" s="177"/>
      <c r="I276" s="177"/>
      <c r="J276" s="177"/>
      <c r="K276" s="177"/>
      <c r="L276" s="177"/>
      <c r="M276" s="177"/>
      <c r="N276" s="177"/>
      <c r="O276" s="177"/>
      <c r="P276" s="177"/>
      <c r="Q276" s="177"/>
      <c r="R276" s="177"/>
      <c r="S276" s="177"/>
      <c r="T276" s="177"/>
      <c r="U276" s="177"/>
      <c r="V276" s="177"/>
      <c r="W276" s="177"/>
      <c r="X276" s="177"/>
      <c r="Y276" s="177"/>
      <c r="Z276" s="177"/>
      <c r="AA276" s="177"/>
      <c r="AB276" s="177"/>
      <c r="AC276" s="177"/>
    </row>
    <row r="277">
      <c r="A277" s="177"/>
      <c r="B277" s="177"/>
      <c r="C277" s="177"/>
      <c r="D277" s="177"/>
      <c r="E277" s="177"/>
      <c r="F277" s="177"/>
      <c r="G277" s="177"/>
      <c r="H277" s="177"/>
      <c r="I277" s="177"/>
      <c r="J277" s="177"/>
      <c r="K277" s="177"/>
      <c r="L277" s="177"/>
      <c r="M277" s="177"/>
      <c r="N277" s="177"/>
      <c r="O277" s="177"/>
      <c r="P277" s="177"/>
      <c r="Q277" s="177"/>
      <c r="R277" s="177"/>
      <c r="S277" s="177"/>
      <c r="T277" s="177"/>
      <c r="U277" s="177"/>
      <c r="V277" s="177"/>
      <c r="W277" s="177"/>
      <c r="X277" s="177"/>
      <c r="Y277" s="177"/>
      <c r="Z277" s="177"/>
      <c r="AA277" s="177"/>
      <c r="AB277" s="177"/>
      <c r="AC277" s="177"/>
    </row>
    <row r="278">
      <c r="A278" s="177"/>
      <c r="B278" s="177"/>
      <c r="C278" s="177"/>
      <c r="D278" s="177"/>
      <c r="E278" s="177"/>
      <c r="F278" s="177"/>
      <c r="G278" s="177"/>
      <c r="H278" s="177"/>
      <c r="I278" s="177"/>
      <c r="J278" s="177"/>
      <c r="K278" s="177"/>
      <c r="L278" s="177"/>
      <c r="M278" s="177"/>
      <c r="N278" s="177"/>
      <c r="O278" s="177"/>
      <c r="P278" s="177"/>
      <c r="Q278" s="177"/>
      <c r="R278" s="177"/>
      <c r="S278" s="177"/>
      <c r="T278" s="177"/>
      <c r="U278" s="177"/>
      <c r="V278" s="177"/>
      <c r="W278" s="177"/>
      <c r="X278" s="177"/>
      <c r="Y278" s="177"/>
      <c r="Z278" s="177"/>
      <c r="AA278" s="177"/>
      <c r="AB278" s="177"/>
      <c r="AC278" s="177"/>
    </row>
    <row r="279">
      <c r="A279" s="177"/>
      <c r="B279" s="177"/>
      <c r="C279" s="177"/>
      <c r="D279" s="177"/>
      <c r="E279" s="177"/>
      <c r="F279" s="177"/>
      <c r="G279" s="177"/>
      <c r="H279" s="177"/>
      <c r="I279" s="177"/>
      <c r="J279" s="177"/>
      <c r="K279" s="177"/>
      <c r="L279" s="177"/>
      <c r="M279" s="177"/>
      <c r="N279" s="177"/>
      <c r="O279" s="177"/>
      <c r="P279" s="177"/>
      <c r="Q279" s="177"/>
      <c r="R279" s="177"/>
      <c r="S279" s="177"/>
      <c r="T279" s="177"/>
      <c r="U279" s="177"/>
      <c r="V279" s="177"/>
      <c r="W279" s="177"/>
      <c r="X279" s="177"/>
      <c r="Y279" s="177"/>
      <c r="Z279" s="177"/>
      <c r="AA279" s="177"/>
      <c r="AB279" s="177"/>
      <c r="AC279" s="177"/>
    </row>
    <row r="280">
      <c r="A280" s="177"/>
      <c r="B280" s="177"/>
      <c r="C280" s="177"/>
      <c r="D280" s="177"/>
      <c r="E280" s="177"/>
      <c r="F280" s="177"/>
      <c r="G280" s="177"/>
      <c r="H280" s="177"/>
      <c r="I280" s="177"/>
      <c r="J280" s="177"/>
      <c r="K280" s="177"/>
      <c r="L280" s="177"/>
      <c r="M280" s="177"/>
      <c r="N280" s="177"/>
      <c r="O280" s="177"/>
      <c r="P280" s="177"/>
      <c r="Q280" s="177"/>
      <c r="R280" s="177"/>
      <c r="S280" s="177"/>
      <c r="T280" s="177"/>
      <c r="U280" s="177"/>
      <c r="V280" s="177"/>
      <c r="W280" s="177"/>
      <c r="X280" s="177"/>
      <c r="Y280" s="177"/>
      <c r="Z280" s="177"/>
      <c r="AA280" s="177"/>
      <c r="AB280" s="177"/>
      <c r="AC280" s="177"/>
    </row>
    <row r="281">
      <c r="A281" s="177"/>
      <c r="B281" s="177"/>
      <c r="C281" s="177"/>
      <c r="D281" s="177"/>
      <c r="E281" s="177"/>
      <c r="F281" s="177"/>
      <c r="G281" s="177"/>
      <c r="H281" s="177"/>
      <c r="I281" s="177"/>
      <c r="J281" s="177"/>
      <c r="K281" s="177"/>
      <c r="L281" s="177"/>
      <c r="M281" s="177"/>
      <c r="N281" s="177"/>
      <c r="O281" s="177"/>
      <c r="P281" s="177"/>
      <c r="Q281" s="177"/>
      <c r="R281" s="177"/>
      <c r="S281" s="177"/>
      <c r="T281" s="177"/>
      <c r="U281" s="177"/>
      <c r="V281" s="177"/>
      <c r="W281" s="177"/>
      <c r="X281" s="177"/>
      <c r="Y281" s="177"/>
      <c r="Z281" s="177"/>
      <c r="AA281" s="177"/>
      <c r="AB281" s="177"/>
      <c r="AC281" s="177"/>
    </row>
    <row r="282">
      <c r="A282" s="177"/>
      <c r="B282" s="177"/>
      <c r="C282" s="177"/>
      <c r="D282" s="177"/>
      <c r="E282" s="177"/>
      <c r="F282" s="177"/>
      <c r="G282" s="177"/>
      <c r="H282" s="177"/>
      <c r="I282" s="177"/>
      <c r="J282" s="177"/>
      <c r="K282" s="177"/>
      <c r="L282" s="177"/>
      <c r="M282" s="177"/>
      <c r="N282" s="177"/>
      <c r="O282" s="177"/>
      <c r="P282" s="177"/>
      <c r="Q282" s="177"/>
      <c r="R282" s="177"/>
      <c r="S282" s="177"/>
      <c r="T282" s="177"/>
      <c r="U282" s="177"/>
      <c r="V282" s="177"/>
      <c r="W282" s="177"/>
      <c r="X282" s="177"/>
      <c r="Y282" s="177"/>
      <c r="Z282" s="177"/>
      <c r="AA282" s="177"/>
      <c r="AB282" s="177"/>
      <c r="AC282" s="177"/>
    </row>
    <row r="283">
      <c r="A283" s="177"/>
      <c r="B283" s="177"/>
      <c r="C283" s="177"/>
      <c r="D283" s="177"/>
      <c r="E283" s="177"/>
      <c r="F283" s="177"/>
      <c r="G283" s="177"/>
      <c r="H283" s="177"/>
      <c r="I283" s="177"/>
      <c r="J283" s="177"/>
      <c r="K283" s="177"/>
      <c r="L283" s="177"/>
      <c r="M283" s="177"/>
      <c r="N283" s="177"/>
      <c r="O283" s="177"/>
      <c r="P283" s="177"/>
      <c r="Q283" s="177"/>
      <c r="R283" s="177"/>
      <c r="S283" s="177"/>
      <c r="T283" s="177"/>
      <c r="U283" s="177"/>
      <c r="V283" s="177"/>
      <c r="W283" s="177"/>
      <c r="X283" s="177"/>
      <c r="Y283" s="177"/>
      <c r="Z283" s="177"/>
      <c r="AA283" s="177"/>
      <c r="AB283" s="177"/>
      <c r="AC283" s="177"/>
    </row>
    <row r="284">
      <c r="A284" s="177"/>
      <c r="B284" s="177"/>
      <c r="C284" s="177"/>
      <c r="D284" s="177"/>
      <c r="E284" s="177"/>
      <c r="F284" s="177"/>
      <c r="G284" s="177"/>
      <c r="H284" s="177"/>
      <c r="I284" s="177"/>
      <c r="J284" s="177"/>
      <c r="K284" s="177"/>
      <c r="L284" s="177"/>
      <c r="M284" s="177"/>
      <c r="N284" s="177"/>
      <c r="O284" s="177"/>
      <c r="P284" s="177"/>
      <c r="Q284" s="177"/>
      <c r="R284" s="177"/>
      <c r="S284" s="177"/>
      <c r="T284" s="177"/>
      <c r="U284" s="177"/>
      <c r="V284" s="177"/>
      <c r="W284" s="177"/>
      <c r="X284" s="177"/>
      <c r="Y284" s="177"/>
      <c r="Z284" s="177"/>
      <c r="AA284" s="177"/>
      <c r="AB284" s="177"/>
      <c r="AC284" s="177"/>
    </row>
    <row r="285">
      <c r="A285" s="177"/>
      <c r="B285" s="177"/>
      <c r="C285" s="177"/>
      <c r="D285" s="177"/>
      <c r="E285" s="177"/>
      <c r="F285" s="177"/>
      <c r="G285" s="177"/>
      <c r="H285" s="177"/>
      <c r="I285" s="177"/>
      <c r="J285" s="177"/>
      <c r="K285" s="177"/>
      <c r="L285" s="177"/>
      <c r="M285" s="177"/>
      <c r="N285" s="177"/>
      <c r="O285" s="177"/>
      <c r="P285" s="177"/>
      <c r="Q285" s="177"/>
      <c r="R285" s="177"/>
      <c r="S285" s="177"/>
      <c r="T285" s="177"/>
      <c r="U285" s="177"/>
      <c r="V285" s="177"/>
      <c r="W285" s="177"/>
      <c r="X285" s="177"/>
      <c r="Y285" s="177"/>
      <c r="Z285" s="177"/>
      <c r="AA285" s="177"/>
      <c r="AB285" s="177"/>
      <c r="AC285" s="177"/>
    </row>
    <row r="286">
      <c r="A286" s="177"/>
      <c r="B286" s="177"/>
      <c r="C286" s="177"/>
      <c r="D286" s="177"/>
      <c r="E286" s="177"/>
      <c r="F286" s="177"/>
      <c r="G286" s="177"/>
      <c r="H286" s="177"/>
      <c r="I286" s="177"/>
      <c r="J286" s="177"/>
      <c r="K286" s="177"/>
      <c r="L286" s="177"/>
      <c r="M286" s="177"/>
      <c r="N286" s="177"/>
      <c r="O286" s="177"/>
      <c r="P286" s="177"/>
      <c r="Q286" s="177"/>
      <c r="R286" s="177"/>
      <c r="S286" s="177"/>
      <c r="T286" s="177"/>
      <c r="U286" s="177"/>
      <c r="V286" s="177"/>
      <c r="W286" s="177"/>
      <c r="X286" s="177"/>
      <c r="Y286" s="177"/>
      <c r="Z286" s="177"/>
      <c r="AA286" s="177"/>
      <c r="AB286" s="177"/>
      <c r="AC286" s="177"/>
    </row>
    <row r="287">
      <c r="A287" s="177"/>
      <c r="B287" s="177"/>
      <c r="C287" s="177"/>
      <c r="D287" s="177"/>
      <c r="E287" s="177"/>
      <c r="F287" s="177"/>
      <c r="G287" s="177"/>
      <c r="H287" s="177"/>
      <c r="I287" s="177"/>
      <c r="J287" s="177"/>
      <c r="K287" s="177"/>
      <c r="L287" s="177"/>
      <c r="M287" s="177"/>
      <c r="N287" s="177"/>
      <c r="O287" s="177"/>
      <c r="P287" s="177"/>
      <c r="Q287" s="177"/>
      <c r="R287" s="177"/>
      <c r="S287" s="177"/>
      <c r="T287" s="177"/>
      <c r="U287" s="177"/>
      <c r="V287" s="177"/>
      <c r="W287" s="177"/>
      <c r="X287" s="177"/>
      <c r="Y287" s="177"/>
      <c r="Z287" s="177"/>
      <c r="AA287" s="177"/>
      <c r="AB287" s="177"/>
      <c r="AC287" s="177"/>
    </row>
    <row r="288">
      <c r="A288" s="177"/>
      <c r="B288" s="177"/>
      <c r="C288" s="177"/>
      <c r="D288" s="177"/>
      <c r="E288" s="177"/>
      <c r="F288" s="177"/>
      <c r="G288" s="177"/>
      <c r="H288" s="177"/>
      <c r="I288" s="177"/>
      <c r="J288" s="177"/>
      <c r="K288" s="177"/>
      <c r="L288" s="177"/>
      <c r="M288" s="177"/>
      <c r="N288" s="177"/>
      <c r="O288" s="177"/>
      <c r="P288" s="177"/>
      <c r="Q288" s="177"/>
      <c r="R288" s="177"/>
      <c r="S288" s="177"/>
      <c r="T288" s="177"/>
      <c r="U288" s="177"/>
      <c r="V288" s="177"/>
      <c r="W288" s="177"/>
      <c r="X288" s="177"/>
      <c r="Y288" s="177"/>
      <c r="Z288" s="177"/>
      <c r="AA288" s="177"/>
      <c r="AB288" s="177"/>
      <c r="AC288" s="177"/>
    </row>
    <row r="289">
      <c r="A289" s="177"/>
      <c r="B289" s="177"/>
      <c r="C289" s="177"/>
      <c r="D289" s="177"/>
      <c r="E289" s="177"/>
      <c r="F289" s="177"/>
      <c r="G289" s="177"/>
      <c r="H289" s="177"/>
      <c r="I289" s="177"/>
      <c r="J289" s="177"/>
      <c r="K289" s="177"/>
      <c r="L289" s="177"/>
      <c r="M289" s="177"/>
      <c r="N289" s="177"/>
      <c r="O289" s="177"/>
      <c r="P289" s="177"/>
      <c r="Q289" s="177"/>
      <c r="R289" s="177"/>
      <c r="S289" s="177"/>
      <c r="T289" s="177"/>
      <c r="U289" s="177"/>
      <c r="V289" s="177"/>
      <c r="W289" s="177"/>
      <c r="X289" s="177"/>
      <c r="Y289" s="177"/>
      <c r="Z289" s="177"/>
      <c r="AA289" s="177"/>
      <c r="AB289" s="177"/>
      <c r="AC289" s="177"/>
    </row>
    <row r="290">
      <c r="A290" s="177"/>
      <c r="B290" s="177"/>
      <c r="C290" s="177"/>
      <c r="D290" s="177"/>
      <c r="E290" s="177"/>
      <c r="F290" s="177"/>
      <c r="G290" s="177"/>
      <c r="H290" s="177"/>
      <c r="I290" s="177"/>
      <c r="J290" s="177"/>
      <c r="K290" s="177"/>
      <c r="L290" s="177"/>
      <c r="M290" s="177"/>
      <c r="N290" s="177"/>
      <c r="O290" s="177"/>
      <c r="P290" s="177"/>
      <c r="Q290" s="177"/>
      <c r="R290" s="177"/>
      <c r="S290" s="177"/>
      <c r="T290" s="177"/>
      <c r="U290" s="177"/>
      <c r="V290" s="177"/>
      <c r="W290" s="177"/>
      <c r="X290" s="177"/>
      <c r="Y290" s="177"/>
      <c r="Z290" s="177"/>
      <c r="AA290" s="177"/>
      <c r="AB290" s="177"/>
      <c r="AC290" s="177"/>
    </row>
    <row r="291">
      <c r="A291" s="177"/>
      <c r="B291" s="177"/>
      <c r="C291" s="177"/>
      <c r="D291" s="177"/>
      <c r="E291" s="177"/>
      <c r="F291" s="177"/>
      <c r="G291" s="177"/>
      <c r="H291" s="177"/>
      <c r="I291" s="177"/>
      <c r="J291" s="177"/>
      <c r="K291" s="177"/>
      <c r="L291" s="177"/>
      <c r="M291" s="177"/>
      <c r="N291" s="177"/>
      <c r="O291" s="177"/>
      <c r="P291" s="177"/>
      <c r="Q291" s="177"/>
      <c r="R291" s="177"/>
      <c r="S291" s="177"/>
      <c r="T291" s="177"/>
      <c r="U291" s="177"/>
      <c r="V291" s="177"/>
      <c r="W291" s="177"/>
      <c r="X291" s="177"/>
      <c r="Y291" s="177"/>
      <c r="Z291" s="177"/>
      <c r="AA291" s="177"/>
      <c r="AB291" s="177"/>
      <c r="AC291" s="177"/>
    </row>
    <row r="292">
      <c r="A292" s="177"/>
      <c r="B292" s="177"/>
      <c r="C292" s="177"/>
      <c r="D292" s="177"/>
      <c r="E292" s="177"/>
      <c r="F292" s="177"/>
      <c r="G292" s="177"/>
      <c r="H292" s="177"/>
      <c r="I292" s="177"/>
      <c r="J292" s="177"/>
      <c r="K292" s="177"/>
      <c r="L292" s="177"/>
      <c r="M292" s="177"/>
      <c r="N292" s="177"/>
      <c r="O292" s="177"/>
      <c r="P292" s="177"/>
      <c r="Q292" s="177"/>
      <c r="R292" s="177"/>
      <c r="S292" s="177"/>
      <c r="T292" s="177"/>
      <c r="U292" s="177"/>
      <c r="V292" s="177"/>
      <c r="W292" s="177"/>
      <c r="X292" s="177"/>
      <c r="Y292" s="177"/>
      <c r="Z292" s="177"/>
      <c r="AA292" s="177"/>
      <c r="AB292" s="177"/>
      <c r="AC292" s="177"/>
    </row>
    <row r="293">
      <c r="A293" s="177"/>
      <c r="B293" s="177"/>
      <c r="C293" s="177"/>
      <c r="D293" s="177"/>
      <c r="E293" s="177"/>
      <c r="F293" s="177"/>
      <c r="G293" s="177"/>
      <c r="H293" s="177"/>
      <c r="I293" s="177"/>
      <c r="J293" s="177"/>
      <c r="K293" s="177"/>
      <c r="L293" s="177"/>
      <c r="M293" s="177"/>
      <c r="N293" s="177"/>
      <c r="O293" s="177"/>
      <c r="P293" s="177"/>
      <c r="Q293" s="177"/>
      <c r="R293" s="177"/>
      <c r="S293" s="177"/>
      <c r="T293" s="177"/>
      <c r="U293" s="177"/>
      <c r="V293" s="177"/>
      <c r="W293" s="177"/>
      <c r="X293" s="177"/>
      <c r="Y293" s="177"/>
      <c r="Z293" s="177"/>
      <c r="AA293" s="177"/>
      <c r="AB293" s="177"/>
      <c r="AC293" s="177"/>
    </row>
    <row r="294">
      <c r="A294" s="177"/>
      <c r="B294" s="177"/>
      <c r="C294" s="177"/>
      <c r="D294" s="177"/>
      <c r="E294" s="177"/>
      <c r="F294" s="177"/>
      <c r="G294" s="177"/>
      <c r="H294" s="177"/>
      <c r="I294" s="177"/>
      <c r="J294" s="177"/>
      <c r="K294" s="177"/>
      <c r="L294" s="177"/>
      <c r="M294" s="177"/>
      <c r="N294" s="177"/>
      <c r="O294" s="177"/>
      <c r="P294" s="177"/>
      <c r="Q294" s="177"/>
      <c r="R294" s="177"/>
      <c r="S294" s="177"/>
      <c r="T294" s="177"/>
      <c r="U294" s="177"/>
      <c r="V294" s="177"/>
      <c r="W294" s="177"/>
      <c r="X294" s="177"/>
      <c r="Y294" s="177"/>
      <c r="Z294" s="177"/>
      <c r="AA294" s="177"/>
      <c r="AB294" s="177"/>
      <c r="AC294" s="177"/>
    </row>
    <row r="295">
      <c r="A295" s="177"/>
      <c r="B295" s="177"/>
      <c r="C295" s="177"/>
      <c r="D295" s="177"/>
      <c r="E295" s="177"/>
      <c r="F295" s="177"/>
      <c r="G295" s="177"/>
      <c r="H295" s="177"/>
      <c r="I295" s="177"/>
      <c r="J295" s="177"/>
      <c r="K295" s="177"/>
      <c r="L295" s="177"/>
      <c r="M295" s="177"/>
      <c r="N295" s="177"/>
      <c r="O295" s="177"/>
      <c r="P295" s="177"/>
      <c r="Q295" s="177"/>
      <c r="R295" s="177"/>
      <c r="S295" s="177"/>
      <c r="T295" s="177"/>
      <c r="U295" s="177"/>
      <c r="V295" s="177"/>
      <c r="W295" s="177"/>
      <c r="X295" s="177"/>
      <c r="Y295" s="177"/>
      <c r="Z295" s="177"/>
      <c r="AA295" s="177"/>
      <c r="AB295" s="177"/>
      <c r="AC295" s="177"/>
    </row>
    <row r="296">
      <c r="A296" s="177"/>
      <c r="B296" s="177"/>
      <c r="C296" s="177"/>
      <c r="D296" s="177"/>
      <c r="E296" s="177"/>
      <c r="F296" s="177"/>
      <c r="G296" s="177"/>
      <c r="H296" s="177"/>
      <c r="I296" s="177"/>
      <c r="J296" s="177"/>
      <c r="K296" s="177"/>
      <c r="L296" s="177"/>
      <c r="M296" s="177"/>
      <c r="N296" s="177"/>
      <c r="O296" s="177"/>
      <c r="P296" s="177"/>
      <c r="Q296" s="177"/>
      <c r="R296" s="177"/>
      <c r="S296" s="177"/>
      <c r="T296" s="177"/>
      <c r="U296" s="177"/>
      <c r="V296" s="177"/>
      <c r="W296" s="177"/>
      <c r="X296" s="177"/>
      <c r="Y296" s="177"/>
      <c r="Z296" s="177"/>
      <c r="AA296" s="177"/>
      <c r="AB296" s="177"/>
      <c r="AC296" s="177"/>
    </row>
    <row r="297">
      <c r="A297" s="177"/>
      <c r="B297" s="177"/>
      <c r="C297" s="177"/>
      <c r="D297" s="177"/>
      <c r="E297" s="177"/>
      <c r="F297" s="177"/>
      <c r="G297" s="177"/>
      <c r="H297" s="177"/>
      <c r="I297" s="177"/>
      <c r="J297" s="177"/>
      <c r="K297" s="177"/>
      <c r="L297" s="177"/>
      <c r="M297" s="177"/>
      <c r="N297" s="177"/>
      <c r="O297" s="177"/>
      <c r="P297" s="177"/>
      <c r="Q297" s="177"/>
      <c r="R297" s="177"/>
      <c r="S297" s="177"/>
      <c r="T297" s="177"/>
      <c r="U297" s="177"/>
      <c r="V297" s="177"/>
      <c r="W297" s="177"/>
      <c r="X297" s="177"/>
      <c r="Y297" s="177"/>
      <c r="Z297" s="177"/>
      <c r="AA297" s="177"/>
      <c r="AB297" s="177"/>
      <c r="AC297" s="177"/>
    </row>
    <row r="298">
      <c r="A298" s="177"/>
      <c r="B298" s="177"/>
      <c r="C298" s="177"/>
      <c r="D298" s="177"/>
      <c r="E298" s="177"/>
      <c r="F298" s="177"/>
      <c r="G298" s="177"/>
      <c r="H298" s="177"/>
      <c r="I298" s="177"/>
      <c r="J298" s="177"/>
      <c r="K298" s="177"/>
      <c r="L298" s="177"/>
      <c r="M298" s="177"/>
      <c r="N298" s="177"/>
      <c r="O298" s="177"/>
      <c r="P298" s="177"/>
      <c r="Q298" s="177"/>
      <c r="R298" s="177"/>
      <c r="S298" s="177"/>
      <c r="T298" s="177"/>
      <c r="U298" s="177"/>
      <c r="V298" s="177"/>
      <c r="W298" s="177"/>
      <c r="X298" s="177"/>
      <c r="Y298" s="177"/>
      <c r="Z298" s="177"/>
      <c r="AA298" s="177"/>
      <c r="AB298" s="177"/>
      <c r="AC298" s="177"/>
    </row>
    <row r="299">
      <c r="A299" s="177"/>
      <c r="B299" s="177"/>
      <c r="C299" s="177"/>
      <c r="D299" s="177"/>
      <c r="E299" s="177"/>
      <c r="F299" s="177"/>
      <c r="G299" s="177"/>
      <c r="H299" s="177"/>
      <c r="I299" s="177"/>
      <c r="J299" s="177"/>
      <c r="K299" s="177"/>
      <c r="L299" s="177"/>
      <c r="M299" s="177"/>
      <c r="N299" s="177"/>
      <c r="O299" s="177"/>
      <c r="P299" s="177"/>
      <c r="Q299" s="177"/>
      <c r="R299" s="177"/>
      <c r="S299" s="177"/>
      <c r="T299" s="177"/>
      <c r="U299" s="177"/>
      <c r="V299" s="177"/>
      <c r="W299" s="177"/>
      <c r="X299" s="177"/>
      <c r="Y299" s="177"/>
      <c r="Z299" s="177"/>
      <c r="AA299" s="177"/>
      <c r="AB299" s="177"/>
      <c r="AC299" s="177"/>
    </row>
    <row r="300">
      <c r="A300" s="177"/>
      <c r="B300" s="177"/>
      <c r="C300" s="177"/>
      <c r="D300" s="177"/>
      <c r="E300" s="177"/>
      <c r="F300" s="177"/>
      <c r="G300" s="177"/>
      <c r="H300" s="177"/>
      <c r="I300" s="177"/>
      <c r="J300" s="177"/>
      <c r="K300" s="177"/>
      <c r="L300" s="177"/>
      <c r="M300" s="177"/>
      <c r="N300" s="177"/>
      <c r="O300" s="177"/>
      <c r="P300" s="177"/>
      <c r="Q300" s="177"/>
      <c r="R300" s="177"/>
      <c r="S300" s="177"/>
      <c r="T300" s="177"/>
      <c r="U300" s="177"/>
      <c r="V300" s="177"/>
      <c r="W300" s="177"/>
      <c r="X300" s="177"/>
      <c r="Y300" s="177"/>
      <c r="Z300" s="177"/>
      <c r="AA300" s="177"/>
      <c r="AB300" s="177"/>
      <c r="AC300" s="177"/>
    </row>
    <row r="301">
      <c r="A301" s="177"/>
      <c r="B301" s="177"/>
      <c r="C301" s="177"/>
      <c r="D301" s="177"/>
      <c r="E301" s="177"/>
      <c r="F301" s="177"/>
      <c r="G301" s="177"/>
      <c r="H301" s="177"/>
      <c r="I301" s="177"/>
      <c r="J301" s="177"/>
      <c r="K301" s="177"/>
      <c r="L301" s="177"/>
      <c r="M301" s="177"/>
      <c r="N301" s="177"/>
      <c r="O301" s="177"/>
      <c r="P301" s="177"/>
      <c r="Q301" s="177"/>
      <c r="R301" s="177"/>
      <c r="S301" s="177"/>
      <c r="T301" s="177"/>
      <c r="U301" s="177"/>
      <c r="V301" s="177"/>
      <c r="W301" s="177"/>
      <c r="X301" s="177"/>
      <c r="Y301" s="177"/>
      <c r="Z301" s="177"/>
      <c r="AA301" s="177"/>
      <c r="AB301" s="177"/>
      <c r="AC301" s="177"/>
    </row>
    <row r="302">
      <c r="A302" s="177"/>
      <c r="B302" s="177"/>
      <c r="C302" s="177"/>
      <c r="D302" s="177"/>
      <c r="E302" s="177"/>
      <c r="F302" s="177"/>
      <c r="G302" s="177"/>
      <c r="H302" s="177"/>
      <c r="I302" s="177"/>
      <c r="J302" s="177"/>
      <c r="K302" s="177"/>
      <c r="L302" s="177"/>
      <c r="M302" s="177"/>
      <c r="N302" s="177"/>
      <c r="O302" s="177"/>
      <c r="P302" s="177"/>
      <c r="Q302" s="177"/>
      <c r="R302" s="177"/>
      <c r="S302" s="177"/>
      <c r="T302" s="177"/>
      <c r="U302" s="177"/>
      <c r="V302" s="177"/>
      <c r="W302" s="177"/>
      <c r="X302" s="177"/>
      <c r="Y302" s="177"/>
      <c r="Z302" s="177"/>
      <c r="AA302" s="177"/>
      <c r="AB302" s="177"/>
      <c r="AC302" s="177"/>
    </row>
    <row r="303">
      <c r="A303" s="177"/>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row>
    <row r="304">
      <c r="A304" s="177"/>
      <c r="B304" s="177"/>
      <c r="C304" s="177"/>
      <c r="D304" s="177"/>
      <c r="E304" s="177"/>
      <c r="F304" s="177"/>
      <c r="G304" s="177"/>
      <c r="H304" s="177"/>
      <c r="I304" s="177"/>
      <c r="J304" s="177"/>
      <c r="K304" s="177"/>
      <c r="L304" s="177"/>
      <c r="M304" s="177"/>
      <c r="N304" s="177"/>
      <c r="O304" s="177"/>
      <c r="P304" s="177"/>
      <c r="Q304" s="177"/>
      <c r="R304" s="177"/>
      <c r="S304" s="177"/>
      <c r="T304" s="177"/>
      <c r="U304" s="177"/>
      <c r="V304" s="177"/>
      <c r="W304" s="177"/>
      <c r="X304" s="177"/>
      <c r="Y304" s="177"/>
      <c r="Z304" s="177"/>
      <c r="AA304" s="177"/>
      <c r="AB304" s="177"/>
      <c r="AC304" s="177"/>
    </row>
    <row r="305">
      <c r="A305" s="177"/>
      <c r="B305" s="177"/>
      <c r="C305" s="177"/>
      <c r="D305" s="177"/>
      <c r="E305" s="177"/>
      <c r="F305" s="177"/>
      <c r="G305" s="177"/>
      <c r="H305" s="177"/>
      <c r="I305" s="177"/>
      <c r="J305" s="177"/>
      <c r="K305" s="177"/>
      <c r="L305" s="177"/>
      <c r="M305" s="177"/>
      <c r="N305" s="177"/>
      <c r="O305" s="177"/>
      <c r="P305" s="177"/>
      <c r="Q305" s="177"/>
      <c r="R305" s="177"/>
      <c r="S305" s="177"/>
      <c r="T305" s="177"/>
      <c r="U305" s="177"/>
      <c r="V305" s="177"/>
      <c r="W305" s="177"/>
      <c r="X305" s="177"/>
      <c r="Y305" s="177"/>
      <c r="Z305" s="177"/>
      <c r="AA305" s="177"/>
      <c r="AB305" s="177"/>
      <c r="AC305" s="177"/>
    </row>
    <row r="306">
      <c r="A306" s="177"/>
      <c r="B306" s="177"/>
      <c r="C306" s="177"/>
      <c r="D306" s="177"/>
      <c r="E306" s="177"/>
      <c r="F306" s="177"/>
      <c r="G306" s="177"/>
      <c r="H306" s="177"/>
      <c r="I306" s="177"/>
      <c r="J306" s="177"/>
      <c r="K306" s="177"/>
      <c r="L306" s="177"/>
      <c r="M306" s="177"/>
      <c r="N306" s="177"/>
      <c r="O306" s="177"/>
      <c r="P306" s="177"/>
      <c r="Q306" s="177"/>
      <c r="R306" s="177"/>
      <c r="S306" s="177"/>
      <c r="T306" s="177"/>
      <c r="U306" s="177"/>
      <c r="V306" s="177"/>
      <c r="W306" s="177"/>
      <c r="X306" s="177"/>
      <c r="Y306" s="177"/>
      <c r="Z306" s="177"/>
      <c r="AA306" s="177"/>
      <c r="AB306" s="177"/>
      <c r="AC306" s="177"/>
    </row>
    <row r="307">
      <c r="A307" s="177"/>
      <c r="B307" s="177"/>
      <c r="C307" s="177"/>
      <c r="D307" s="177"/>
      <c r="E307" s="177"/>
      <c r="F307" s="177"/>
      <c r="G307" s="177"/>
      <c r="H307" s="177"/>
      <c r="I307" s="177"/>
      <c r="J307" s="177"/>
      <c r="K307" s="177"/>
      <c r="L307" s="177"/>
      <c r="M307" s="177"/>
      <c r="N307" s="177"/>
      <c r="O307" s="177"/>
      <c r="P307" s="177"/>
      <c r="Q307" s="177"/>
      <c r="R307" s="177"/>
      <c r="S307" s="177"/>
      <c r="T307" s="177"/>
      <c r="U307" s="177"/>
      <c r="V307" s="177"/>
      <c r="W307" s="177"/>
      <c r="X307" s="177"/>
      <c r="Y307" s="177"/>
      <c r="Z307" s="177"/>
      <c r="AA307" s="177"/>
      <c r="AB307" s="177"/>
      <c r="AC307" s="177"/>
    </row>
    <row r="308">
      <c r="A308" s="177"/>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row>
    <row r="309">
      <c r="A309" s="177"/>
      <c r="B309" s="177"/>
      <c r="C309" s="177"/>
      <c r="D309" s="177"/>
      <c r="E309" s="177"/>
      <c r="F309" s="177"/>
      <c r="G309" s="177"/>
      <c r="H309" s="177"/>
      <c r="I309" s="177"/>
      <c r="J309" s="177"/>
      <c r="K309" s="177"/>
      <c r="L309" s="177"/>
      <c r="M309" s="177"/>
      <c r="N309" s="177"/>
      <c r="O309" s="177"/>
      <c r="P309" s="177"/>
      <c r="Q309" s="177"/>
      <c r="R309" s="177"/>
      <c r="S309" s="177"/>
      <c r="T309" s="177"/>
      <c r="U309" s="177"/>
      <c r="V309" s="177"/>
      <c r="W309" s="177"/>
      <c r="X309" s="177"/>
      <c r="Y309" s="177"/>
      <c r="Z309" s="177"/>
      <c r="AA309" s="177"/>
      <c r="AB309" s="177"/>
      <c r="AC309" s="177"/>
    </row>
    <row r="310">
      <c r="A310" s="177"/>
      <c r="B310" s="177"/>
      <c r="C310" s="177"/>
      <c r="D310" s="177"/>
      <c r="E310" s="177"/>
      <c r="F310" s="177"/>
      <c r="G310" s="177"/>
      <c r="H310" s="177"/>
      <c r="I310" s="177"/>
      <c r="J310" s="177"/>
      <c r="K310" s="177"/>
      <c r="L310" s="177"/>
      <c r="M310" s="177"/>
      <c r="N310" s="177"/>
      <c r="O310" s="177"/>
      <c r="P310" s="177"/>
      <c r="Q310" s="177"/>
      <c r="R310" s="177"/>
      <c r="S310" s="177"/>
      <c r="T310" s="177"/>
      <c r="U310" s="177"/>
      <c r="V310" s="177"/>
      <c r="W310" s="177"/>
      <c r="X310" s="177"/>
      <c r="Y310" s="177"/>
      <c r="Z310" s="177"/>
      <c r="AA310" s="177"/>
      <c r="AB310" s="177"/>
      <c r="AC310" s="177"/>
    </row>
    <row r="311">
      <c r="A311" s="177"/>
      <c r="B311" s="177"/>
      <c r="C311" s="177"/>
      <c r="D311" s="177"/>
      <c r="E311" s="177"/>
      <c r="F311" s="177"/>
      <c r="G311" s="177"/>
      <c r="H311" s="177"/>
      <c r="I311" s="177"/>
      <c r="J311" s="177"/>
      <c r="K311" s="177"/>
      <c r="L311" s="177"/>
      <c r="M311" s="177"/>
      <c r="N311" s="177"/>
      <c r="O311" s="177"/>
      <c r="P311" s="177"/>
      <c r="Q311" s="177"/>
      <c r="R311" s="177"/>
      <c r="S311" s="177"/>
      <c r="T311" s="177"/>
      <c r="U311" s="177"/>
      <c r="V311" s="177"/>
      <c r="W311" s="177"/>
      <c r="X311" s="177"/>
      <c r="Y311" s="177"/>
      <c r="Z311" s="177"/>
      <c r="AA311" s="177"/>
      <c r="AB311" s="177"/>
      <c r="AC311" s="177"/>
    </row>
    <row r="312">
      <c r="A312" s="177"/>
      <c r="B312" s="177"/>
      <c r="C312" s="177"/>
      <c r="D312" s="177"/>
      <c r="E312" s="177"/>
      <c r="F312" s="177"/>
      <c r="G312" s="177"/>
      <c r="H312" s="177"/>
      <c r="I312" s="177"/>
      <c r="J312" s="177"/>
      <c r="K312" s="177"/>
      <c r="L312" s="177"/>
      <c r="M312" s="177"/>
      <c r="N312" s="177"/>
      <c r="O312" s="177"/>
      <c r="P312" s="177"/>
      <c r="Q312" s="177"/>
      <c r="R312" s="177"/>
      <c r="S312" s="177"/>
      <c r="T312" s="177"/>
      <c r="U312" s="177"/>
      <c r="V312" s="177"/>
      <c r="W312" s="177"/>
      <c r="X312" s="177"/>
      <c r="Y312" s="177"/>
      <c r="Z312" s="177"/>
      <c r="AA312" s="177"/>
      <c r="AB312" s="177"/>
      <c r="AC312" s="177"/>
    </row>
    <row r="313">
      <c r="A313" s="177"/>
      <c r="B313" s="177"/>
      <c r="C313" s="177"/>
      <c r="D313" s="177"/>
      <c r="E313" s="177"/>
      <c r="F313" s="177"/>
      <c r="G313" s="177"/>
      <c r="H313" s="177"/>
      <c r="I313" s="177"/>
      <c r="J313" s="177"/>
      <c r="K313" s="177"/>
      <c r="L313" s="177"/>
      <c r="M313" s="177"/>
      <c r="N313" s="177"/>
      <c r="O313" s="177"/>
      <c r="P313" s="177"/>
      <c r="Q313" s="177"/>
      <c r="R313" s="177"/>
      <c r="S313" s="177"/>
      <c r="T313" s="177"/>
      <c r="U313" s="177"/>
      <c r="V313" s="177"/>
      <c r="W313" s="177"/>
      <c r="X313" s="177"/>
      <c r="Y313" s="177"/>
      <c r="Z313" s="177"/>
      <c r="AA313" s="177"/>
      <c r="AB313" s="177"/>
      <c r="AC313" s="177"/>
    </row>
    <row r="314">
      <c r="A314" s="177"/>
      <c r="B314" s="177"/>
      <c r="C314" s="177"/>
      <c r="D314" s="177"/>
      <c r="E314" s="177"/>
      <c r="F314" s="177"/>
      <c r="G314" s="177"/>
      <c r="H314" s="177"/>
      <c r="I314" s="177"/>
      <c r="J314" s="177"/>
      <c r="K314" s="177"/>
      <c r="L314" s="177"/>
      <c r="M314" s="177"/>
      <c r="N314" s="177"/>
      <c r="O314" s="177"/>
      <c r="P314" s="177"/>
      <c r="Q314" s="177"/>
      <c r="R314" s="177"/>
      <c r="S314" s="177"/>
      <c r="T314" s="177"/>
      <c r="U314" s="177"/>
      <c r="V314" s="177"/>
      <c r="W314" s="177"/>
      <c r="X314" s="177"/>
      <c r="Y314" s="177"/>
      <c r="Z314" s="177"/>
      <c r="AA314" s="177"/>
      <c r="AB314" s="177"/>
      <c r="AC314" s="177"/>
    </row>
    <row r="315">
      <c r="A315" s="177"/>
      <c r="B315" s="177"/>
      <c r="C315" s="177"/>
      <c r="D315" s="177"/>
      <c r="E315" s="177"/>
      <c r="F315" s="177"/>
      <c r="G315" s="177"/>
      <c r="H315" s="177"/>
      <c r="I315" s="177"/>
      <c r="J315" s="177"/>
      <c r="K315" s="177"/>
      <c r="L315" s="177"/>
      <c r="M315" s="177"/>
      <c r="N315" s="177"/>
      <c r="O315" s="177"/>
      <c r="P315" s="177"/>
      <c r="Q315" s="177"/>
      <c r="R315" s="177"/>
      <c r="S315" s="177"/>
      <c r="T315" s="177"/>
      <c r="U315" s="177"/>
      <c r="V315" s="177"/>
      <c r="W315" s="177"/>
      <c r="X315" s="177"/>
      <c r="Y315" s="177"/>
      <c r="Z315" s="177"/>
      <c r="AA315" s="177"/>
      <c r="AB315" s="177"/>
      <c r="AC315" s="177"/>
    </row>
    <row r="316">
      <c r="A316" s="177"/>
      <c r="B316" s="177"/>
      <c r="C316" s="177"/>
      <c r="D316" s="177"/>
      <c r="E316" s="177"/>
      <c r="F316" s="177"/>
      <c r="G316" s="177"/>
      <c r="H316" s="177"/>
      <c r="I316" s="177"/>
      <c r="J316" s="177"/>
      <c r="K316" s="177"/>
      <c r="L316" s="177"/>
      <c r="M316" s="177"/>
      <c r="N316" s="177"/>
      <c r="O316" s="177"/>
      <c r="P316" s="177"/>
      <c r="Q316" s="177"/>
      <c r="R316" s="177"/>
      <c r="S316" s="177"/>
      <c r="T316" s="177"/>
      <c r="U316" s="177"/>
      <c r="V316" s="177"/>
      <c r="W316" s="177"/>
      <c r="X316" s="177"/>
      <c r="Y316" s="177"/>
      <c r="Z316" s="177"/>
      <c r="AA316" s="177"/>
      <c r="AB316" s="177"/>
      <c r="AC316" s="177"/>
    </row>
    <row r="317">
      <c r="A317" s="177"/>
      <c r="B317" s="177"/>
      <c r="C317" s="177"/>
      <c r="D317" s="177"/>
      <c r="E317" s="177"/>
      <c r="F317" s="177"/>
      <c r="G317" s="177"/>
      <c r="H317" s="177"/>
      <c r="I317" s="177"/>
      <c r="J317" s="177"/>
      <c r="K317" s="177"/>
      <c r="L317" s="177"/>
      <c r="M317" s="177"/>
      <c r="N317" s="177"/>
      <c r="O317" s="177"/>
      <c r="P317" s="177"/>
      <c r="Q317" s="177"/>
      <c r="R317" s="177"/>
      <c r="S317" s="177"/>
      <c r="T317" s="177"/>
      <c r="U317" s="177"/>
      <c r="V317" s="177"/>
      <c r="W317" s="177"/>
      <c r="X317" s="177"/>
      <c r="Y317" s="177"/>
      <c r="Z317" s="177"/>
      <c r="AA317" s="177"/>
      <c r="AB317" s="177"/>
      <c r="AC317" s="177"/>
    </row>
    <row r="318">
      <c r="A318" s="177"/>
      <c r="B318" s="177"/>
      <c r="C318" s="177"/>
      <c r="D318" s="177"/>
      <c r="E318" s="177"/>
      <c r="F318" s="177"/>
      <c r="G318" s="177"/>
      <c r="H318" s="177"/>
      <c r="I318" s="177"/>
      <c r="J318" s="177"/>
      <c r="K318" s="177"/>
      <c r="L318" s="177"/>
      <c r="M318" s="177"/>
      <c r="N318" s="177"/>
      <c r="O318" s="177"/>
      <c r="P318" s="177"/>
      <c r="Q318" s="177"/>
      <c r="R318" s="177"/>
      <c r="S318" s="177"/>
      <c r="T318" s="177"/>
      <c r="U318" s="177"/>
      <c r="V318" s="177"/>
      <c r="W318" s="177"/>
      <c r="X318" s="177"/>
      <c r="Y318" s="177"/>
      <c r="Z318" s="177"/>
      <c r="AA318" s="177"/>
      <c r="AB318" s="177"/>
      <c r="AC318" s="177"/>
    </row>
    <row r="319">
      <c r="A319" s="177"/>
      <c r="B319" s="177"/>
      <c r="C319" s="177"/>
      <c r="D319" s="177"/>
      <c r="E319" s="177"/>
      <c r="F319" s="177"/>
      <c r="G319" s="177"/>
      <c r="H319" s="177"/>
      <c r="I319" s="177"/>
      <c r="J319" s="177"/>
      <c r="K319" s="177"/>
      <c r="L319" s="177"/>
      <c r="M319" s="177"/>
      <c r="N319" s="177"/>
      <c r="O319" s="177"/>
      <c r="P319" s="177"/>
      <c r="Q319" s="177"/>
      <c r="R319" s="177"/>
      <c r="S319" s="177"/>
      <c r="T319" s="177"/>
      <c r="U319" s="177"/>
      <c r="V319" s="177"/>
      <c r="W319" s="177"/>
      <c r="X319" s="177"/>
      <c r="Y319" s="177"/>
      <c r="Z319" s="177"/>
      <c r="AA319" s="177"/>
      <c r="AB319" s="177"/>
      <c r="AC319" s="177"/>
    </row>
    <row r="320">
      <c r="A320" s="177"/>
      <c r="B320" s="177"/>
      <c r="C320" s="177"/>
      <c r="D320" s="177"/>
      <c r="E320" s="177"/>
      <c r="F320" s="177"/>
      <c r="G320" s="177"/>
      <c r="H320" s="177"/>
      <c r="I320" s="177"/>
      <c r="J320" s="177"/>
      <c r="K320" s="177"/>
      <c r="L320" s="177"/>
      <c r="M320" s="177"/>
      <c r="N320" s="177"/>
      <c r="O320" s="177"/>
      <c r="P320" s="177"/>
      <c r="Q320" s="177"/>
      <c r="R320" s="177"/>
      <c r="S320" s="177"/>
      <c r="T320" s="177"/>
      <c r="U320" s="177"/>
      <c r="V320" s="177"/>
      <c r="W320" s="177"/>
      <c r="X320" s="177"/>
      <c r="Y320" s="177"/>
      <c r="Z320" s="177"/>
      <c r="AA320" s="177"/>
      <c r="AB320" s="177"/>
      <c r="AC320" s="177"/>
    </row>
    <row r="321">
      <c r="A321" s="177"/>
      <c r="B321" s="177"/>
      <c r="C321" s="177"/>
      <c r="D321" s="177"/>
      <c r="E321" s="177"/>
      <c r="F321" s="177"/>
      <c r="G321" s="177"/>
      <c r="H321" s="177"/>
      <c r="I321" s="177"/>
      <c r="J321" s="177"/>
      <c r="K321" s="177"/>
      <c r="L321" s="177"/>
      <c r="M321" s="177"/>
      <c r="N321" s="177"/>
      <c r="O321" s="177"/>
      <c r="P321" s="177"/>
      <c r="Q321" s="177"/>
      <c r="R321" s="177"/>
      <c r="S321" s="177"/>
      <c r="T321" s="177"/>
      <c r="U321" s="177"/>
      <c r="V321" s="177"/>
      <c r="W321" s="177"/>
      <c r="X321" s="177"/>
      <c r="Y321" s="177"/>
      <c r="Z321" s="177"/>
      <c r="AA321" s="177"/>
      <c r="AB321" s="177"/>
      <c r="AC321" s="177"/>
    </row>
    <row r="322">
      <c r="A322" s="177"/>
      <c r="B322" s="177"/>
      <c r="C322" s="177"/>
      <c r="D322" s="177"/>
      <c r="E322" s="177"/>
      <c r="F322" s="177"/>
      <c r="G322" s="177"/>
      <c r="H322" s="177"/>
      <c r="I322" s="177"/>
      <c r="J322" s="177"/>
      <c r="K322" s="177"/>
      <c r="L322" s="177"/>
      <c r="M322" s="177"/>
      <c r="N322" s="177"/>
      <c r="O322" s="177"/>
      <c r="P322" s="177"/>
      <c r="Q322" s="177"/>
      <c r="R322" s="177"/>
      <c r="S322" s="177"/>
      <c r="T322" s="177"/>
      <c r="U322" s="177"/>
      <c r="V322" s="177"/>
      <c r="W322" s="177"/>
      <c r="X322" s="177"/>
      <c r="Y322" s="177"/>
      <c r="Z322" s="177"/>
      <c r="AA322" s="177"/>
      <c r="AB322" s="177"/>
      <c r="AC322" s="177"/>
    </row>
    <row r="323">
      <c r="A323" s="177"/>
      <c r="B323" s="177"/>
      <c r="C323" s="177"/>
      <c r="D323" s="177"/>
      <c r="E323" s="177"/>
      <c r="F323" s="177"/>
      <c r="G323" s="177"/>
      <c r="H323" s="177"/>
      <c r="I323" s="177"/>
      <c r="J323" s="177"/>
      <c r="K323" s="177"/>
      <c r="L323" s="177"/>
      <c r="M323" s="177"/>
      <c r="N323" s="177"/>
      <c r="O323" s="177"/>
      <c r="P323" s="177"/>
      <c r="Q323" s="177"/>
      <c r="R323" s="177"/>
      <c r="S323" s="177"/>
      <c r="T323" s="177"/>
      <c r="U323" s="177"/>
      <c r="V323" s="177"/>
      <c r="W323" s="177"/>
      <c r="X323" s="177"/>
      <c r="Y323" s="177"/>
      <c r="Z323" s="177"/>
      <c r="AA323" s="177"/>
      <c r="AB323" s="177"/>
      <c r="AC323" s="177"/>
    </row>
    <row r="324">
      <c r="A324" s="177"/>
      <c r="B324" s="177"/>
      <c r="C324" s="177"/>
      <c r="D324" s="177"/>
      <c r="E324" s="177"/>
      <c r="F324" s="177"/>
      <c r="G324" s="177"/>
      <c r="H324" s="177"/>
      <c r="I324" s="177"/>
      <c r="J324" s="177"/>
      <c r="K324" s="177"/>
      <c r="L324" s="177"/>
      <c r="M324" s="177"/>
      <c r="N324" s="177"/>
      <c r="O324" s="177"/>
      <c r="P324" s="177"/>
      <c r="Q324" s="177"/>
      <c r="R324" s="177"/>
      <c r="S324" s="177"/>
      <c r="T324" s="177"/>
      <c r="U324" s="177"/>
      <c r="V324" s="177"/>
      <c r="W324" s="177"/>
      <c r="X324" s="177"/>
      <c r="Y324" s="177"/>
      <c r="Z324" s="177"/>
      <c r="AA324" s="177"/>
      <c r="AB324" s="177"/>
      <c r="AC324" s="177"/>
    </row>
    <row r="325">
      <c r="A325" s="177"/>
      <c r="B325" s="177"/>
      <c r="C325" s="177"/>
      <c r="D325" s="177"/>
      <c r="E325" s="177"/>
      <c r="F325" s="177"/>
      <c r="G325" s="177"/>
      <c r="H325" s="177"/>
      <c r="I325" s="177"/>
      <c r="J325" s="177"/>
      <c r="K325" s="177"/>
      <c r="L325" s="177"/>
      <c r="M325" s="177"/>
      <c r="N325" s="177"/>
      <c r="O325" s="177"/>
      <c r="P325" s="177"/>
      <c r="Q325" s="177"/>
      <c r="R325" s="177"/>
      <c r="S325" s="177"/>
      <c r="T325" s="177"/>
      <c r="U325" s="177"/>
      <c r="V325" s="177"/>
      <c r="W325" s="177"/>
      <c r="X325" s="177"/>
      <c r="Y325" s="177"/>
      <c r="Z325" s="177"/>
      <c r="AA325" s="177"/>
      <c r="AB325" s="177"/>
      <c r="AC325" s="177"/>
    </row>
    <row r="326">
      <c r="A326" s="177"/>
      <c r="B326" s="177"/>
      <c r="C326" s="177"/>
      <c r="D326" s="177"/>
      <c r="E326" s="177"/>
      <c r="F326" s="177"/>
      <c r="G326" s="177"/>
      <c r="H326" s="177"/>
      <c r="I326" s="177"/>
      <c r="J326" s="177"/>
      <c r="K326" s="177"/>
      <c r="L326" s="177"/>
      <c r="M326" s="177"/>
      <c r="N326" s="177"/>
      <c r="O326" s="177"/>
      <c r="P326" s="177"/>
      <c r="Q326" s="177"/>
      <c r="R326" s="177"/>
      <c r="S326" s="177"/>
      <c r="T326" s="177"/>
      <c r="U326" s="177"/>
      <c r="V326" s="177"/>
      <c r="W326" s="177"/>
      <c r="X326" s="177"/>
      <c r="Y326" s="177"/>
      <c r="Z326" s="177"/>
      <c r="AA326" s="177"/>
      <c r="AB326" s="177"/>
      <c r="AC326" s="177"/>
    </row>
    <row r="327">
      <c r="A327" s="177"/>
      <c r="B327" s="177"/>
      <c r="C327" s="177"/>
      <c r="D327" s="177"/>
      <c r="E327" s="177"/>
      <c r="F327" s="177"/>
      <c r="G327" s="177"/>
      <c r="H327" s="177"/>
      <c r="I327" s="177"/>
      <c r="J327" s="177"/>
      <c r="K327" s="177"/>
      <c r="L327" s="177"/>
      <c r="M327" s="177"/>
      <c r="N327" s="177"/>
      <c r="O327" s="177"/>
      <c r="P327" s="177"/>
      <c r="Q327" s="177"/>
      <c r="R327" s="177"/>
      <c r="S327" s="177"/>
      <c r="T327" s="177"/>
      <c r="U327" s="177"/>
      <c r="V327" s="177"/>
      <c r="W327" s="177"/>
      <c r="X327" s="177"/>
      <c r="Y327" s="177"/>
      <c r="Z327" s="177"/>
      <c r="AA327" s="177"/>
      <c r="AB327" s="177"/>
      <c r="AC327" s="177"/>
    </row>
    <row r="328">
      <c r="A328" s="177"/>
      <c r="B328" s="177"/>
      <c r="C328" s="177"/>
      <c r="D328" s="177"/>
      <c r="E328" s="177"/>
      <c r="F328" s="177"/>
      <c r="G328" s="177"/>
      <c r="H328" s="177"/>
      <c r="I328" s="177"/>
      <c r="J328" s="177"/>
      <c r="K328" s="177"/>
      <c r="L328" s="177"/>
      <c r="M328" s="177"/>
      <c r="N328" s="177"/>
      <c r="O328" s="177"/>
      <c r="P328" s="177"/>
      <c r="Q328" s="177"/>
      <c r="R328" s="177"/>
      <c r="S328" s="177"/>
      <c r="T328" s="177"/>
      <c r="U328" s="177"/>
      <c r="V328" s="177"/>
      <c r="W328" s="177"/>
      <c r="X328" s="177"/>
      <c r="Y328" s="177"/>
      <c r="Z328" s="177"/>
      <c r="AA328" s="177"/>
      <c r="AB328" s="177"/>
      <c r="AC328" s="177"/>
    </row>
    <row r="329">
      <c r="A329" s="177"/>
      <c r="B329" s="177"/>
      <c r="C329" s="177"/>
      <c r="D329" s="177"/>
      <c r="E329" s="177"/>
      <c r="F329" s="177"/>
      <c r="G329" s="177"/>
      <c r="H329" s="177"/>
      <c r="I329" s="177"/>
      <c r="J329" s="177"/>
      <c r="K329" s="177"/>
      <c r="L329" s="177"/>
      <c r="M329" s="177"/>
      <c r="N329" s="177"/>
      <c r="O329" s="177"/>
      <c r="P329" s="177"/>
      <c r="Q329" s="177"/>
      <c r="R329" s="177"/>
      <c r="S329" s="177"/>
      <c r="T329" s="177"/>
      <c r="U329" s="177"/>
      <c r="V329" s="177"/>
      <c r="W329" s="177"/>
      <c r="X329" s="177"/>
      <c r="Y329" s="177"/>
      <c r="Z329" s="177"/>
      <c r="AA329" s="177"/>
      <c r="AB329" s="177"/>
      <c r="AC329" s="177"/>
    </row>
    <row r="330">
      <c r="A330" s="177"/>
      <c r="B330" s="177"/>
      <c r="C330" s="177"/>
      <c r="D330" s="177"/>
      <c r="E330" s="177"/>
      <c r="F330" s="177"/>
      <c r="G330" s="177"/>
      <c r="H330" s="177"/>
      <c r="I330" s="177"/>
      <c r="J330" s="177"/>
      <c r="K330" s="177"/>
      <c r="L330" s="177"/>
      <c r="M330" s="177"/>
      <c r="N330" s="177"/>
      <c r="O330" s="177"/>
      <c r="P330" s="177"/>
      <c r="Q330" s="177"/>
      <c r="R330" s="177"/>
      <c r="S330" s="177"/>
      <c r="T330" s="177"/>
      <c r="U330" s="177"/>
      <c r="V330" s="177"/>
      <c r="W330" s="177"/>
      <c r="X330" s="177"/>
      <c r="Y330" s="177"/>
      <c r="Z330" s="177"/>
      <c r="AA330" s="177"/>
      <c r="AB330" s="177"/>
      <c r="AC330" s="177"/>
    </row>
    <row r="331">
      <c r="A331" s="177"/>
      <c r="B331" s="177"/>
      <c r="C331" s="177"/>
      <c r="D331" s="177"/>
      <c r="E331" s="177"/>
      <c r="F331" s="177"/>
      <c r="G331" s="177"/>
      <c r="H331" s="177"/>
      <c r="I331" s="177"/>
      <c r="J331" s="177"/>
      <c r="K331" s="177"/>
      <c r="L331" s="177"/>
      <c r="M331" s="177"/>
      <c r="N331" s="177"/>
      <c r="O331" s="177"/>
      <c r="P331" s="177"/>
      <c r="Q331" s="177"/>
      <c r="R331" s="177"/>
      <c r="S331" s="177"/>
      <c r="T331" s="177"/>
      <c r="U331" s="177"/>
      <c r="V331" s="177"/>
      <c r="W331" s="177"/>
      <c r="X331" s="177"/>
      <c r="Y331" s="177"/>
      <c r="Z331" s="177"/>
      <c r="AA331" s="177"/>
      <c r="AB331" s="177"/>
      <c r="AC331" s="177"/>
    </row>
    <row r="332">
      <c r="A332" s="177"/>
      <c r="B332" s="177"/>
      <c r="C332" s="177"/>
      <c r="D332" s="177"/>
      <c r="E332" s="177"/>
      <c r="F332" s="177"/>
      <c r="G332" s="177"/>
      <c r="H332" s="177"/>
      <c r="I332" s="177"/>
      <c r="J332" s="177"/>
      <c r="K332" s="177"/>
      <c r="L332" s="177"/>
      <c r="M332" s="177"/>
      <c r="N332" s="177"/>
      <c r="O332" s="177"/>
      <c r="P332" s="177"/>
      <c r="Q332" s="177"/>
      <c r="R332" s="177"/>
      <c r="S332" s="177"/>
      <c r="T332" s="177"/>
      <c r="U332" s="177"/>
      <c r="V332" s="177"/>
      <c r="W332" s="177"/>
      <c r="X332" s="177"/>
      <c r="Y332" s="177"/>
      <c r="Z332" s="177"/>
      <c r="AA332" s="177"/>
      <c r="AB332" s="177"/>
      <c r="AC332" s="177"/>
    </row>
    <row r="333">
      <c r="A333" s="177"/>
      <c r="B333" s="177"/>
      <c r="C333" s="177"/>
      <c r="D333" s="177"/>
      <c r="E333" s="177"/>
      <c r="F333" s="177"/>
      <c r="G333" s="177"/>
      <c r="H333" s="177"/>
      <c r="I333" s="177"/>
      <c r="J333" s="177"/>
      <c r="K333" s="177"/>
      <c r="L333" s="177"/>
      <c r="M333" s="177"/>
      <c r="N333" s="177"/>
      <c r="O333" s="177"/>
      <c r="P333" s="177"/>
      <c r="Q333" s="177"/>
      <c r="R333" s="177"/>
      <c r="S333" s="177"/>
      <c r="T333" s="177"/>
      <c r="U333" s="177"/>
      <c r="V333" s="177"/>
      <c r="W333" s="177"/>
      <c r="X333" s="177"/>
      <c r="Y333" s="177"/>
      <c r="Z333" s="177"/>
      <c r="AA333" s="177"/>
      <c r="AB333" s="177"/>
      <c r="AC333" s="177"/>
    </row>
    <row r="334">
      <c r="A334" s="177"/>
      <c r="B334" s="177"/>
      <c r="C334" s="177"/>
      <c r="D334" s="177"/>
      <c r="E334" s="177"/>
      <c r="F334" s="177"/>
      <c r="G334" s="177"/>
      <c r="H334" s="177"/>
      <c r="I334" s="177"/>
      <c r="J334" s="177"/>
      <c r="K334" s="177"/>
      <c r="L334" s="177"/>
      <c r="M334" s="177"/>
      <c r="N334" s="177"/>
      <c r="O334" s="177"/>
      <c r="P334" s="177"/>
      <c r="Q334" s="177"/>
      <c r="R334" s="177"/>
      <c r="S334" s="177"/>
      <c r="T334" s="177"/>
      <c r="U334" s="177"/>
      <c r="V334" s="177"/>
      <c r="W334" s="177"/>
      <c r="X334" s="177"/>
      <c r="Y334" s="177"/>
      <c r="Z334" s="177"/>
      <c r="AA334" s="177"/>
      <c r="AB334" s="177"/>
      <c r="AC334" s="177"/>
    </row>
    <row r="335">
      <c r="A335" s="177"/>
      <c r="B335" s="177"/>
      <c r="C335" s="177"/>
      <c r="D335" s="177"/>
      <c r="E335" s="177"/>
      <c r="F335" s="177"/>
      <c r="G335" s="177"/>
      <c r="H335" s="177"/>
      <c r="I335" s="177"/>
      <c r="J335" s="177"/>
      <c r="K335" s="177"/>
      <c r="L335" s="177"/>
      <c r="M335" s="177"/>
      <c r="N335" s="177"/>
      <c r="O335" s="177"/>
      <c r="P335" s="177"/>
      <c r="Q335" s="177"/>
      <c r="R335" s="177"/>
      <c r="S335" s="177"/>
      <c r="T335" s="177"/>
      <c r="U335" s="177"/>
      <c r="V335" s="177"/>
      <c r="W335" s="177"/>
      <c r="X335" s="177"/>
      <c r="Y335" s="177"/>
      <c r="Z335" s="177"/>
      <c r="AA335" s="177"/>
      <c r="AB335" s="177"/>
      <c r="AC335" s="177"/>
    </row>
    <row r="336">
      <c r="A336" s="177"/>
      <c r="B336" s="177"/>
      <c r="C336" s="177"/>
      <c r="D336" s="177"/>
      <c r="E336" s="177"/>
      <c r="F336" s="177"/>
      <c r="G336" s="177"/>
      <c r="H336" s="177"/>
      <c r="I336" s="177"/>
      <c r="J336" s="177"/>
      <c r="K336" s="177"/>
      <c r="L336" s="177"/>
      <c r="M336" s="177"/>
      <c r="N336" s="177"/>
      <c r="O336" s="177"/>
      <c r="P336" s="177"/>
      <c r="Q336" s="177"/>
      <c r="R336" s="177"/>
      <c r="S336" s="177"/>
      <c r="T336" s="177"/>
      <c r="U336" s="177"/>
      <c r="V336" s="177"/>
      <c r="W336" s="177"/>
      <c r="X336" s="177"/>
      <c r="Y336" s="177"/>
      <c r="Z336" s="177"/>
      <c r="AA336" s="177"/>
      <c r="AB336" s="177"/>
      <c r="AC336" s="177"/>
    </row>
    <row r="337">
      <c r="A337" s="177"/>
      <c r="B337" s="177"/>
      <c r="C337" s="177"/>
      <c r="D337" s="177"/>
      <c r="E337" s="177"/>
      <c r="F337" s="177"/>
      <c r="G337" s="177"/>
      <c r="H337" s="177"/>
      <c r="I337" s="177"/>
      <c r="J337" s="177"/>
      <c r="K337" s="177"/>
      <c r="L337" s="177"/>
      <c r="M337" s="177"/>
      <c r="N337" s="177"/>
      <c r="O337" s="177"/>
      <c r="P337" s="177"/>
      <c r="Q337" s="177"/>
      <c r="R337" s="177"/>
      <c r="S337" s="177"/>
      <c r="T337" s="177"/>
      <c r="U337" s="177"/>
      <c r="V337" s="177"/>
      <c r="W337" s="177"/>
      <c r="X337" s="177"/>
      <c r="Y337" s="177"/>
      <c r="Z337" s="177"/>
      <c r="AA337" s="177"/>
      <c r="AB337" s="177"/>
      <c r="AC337" s="177"/>
    </row>
    <row r="338">
      <c r="A338" s="177"/>
      <c r="B338" s="177"/>
      <c r="C338" s="177"/>
      <c r="D338" s="177"/>
      <c r="E338" s="177"/>
      <c r="F338" s="177"/>
      <c r="G338" s="177"/>
      <c r="H338" s="177"/>
      <c r="I338" s="177"/>
      <c r="J338" s="177"/>
      <c r="K338" s="177"/>
      <c r="L338" s="177"/>
      <c r="M338" s="177"/>
      <c r="N338" s="177"/>
      <c r="O338" s="177"/>
      <c r="P338" s="177"/>
      <c r="Q338" s="177"/>
      <c r="R338" s="177"/>
      <c r="S338" s="177"/>
      <c r="T338" s="177"/>
      <c r="U338" s="177"/>
      <c r="V338" s="177"/>
      <c r="W338" s="177"/>
      <c r="X338" s="177"/>
      <c r="Y338" s="177"/>
      <c r="Z338" s="177"/>
      <c r="AA338" s="177"/>
      <c r="AB338" s="177"/>
      <c r="AC338" s="177"/>
    </row>
    <row r="339">
      <c r="A339" s="177"/>
      <c r="B339" s="177"/>
      <c r="C339" s="177"/>
      <c r="D339" s="177"/>
      <c r="E339" s="177"/>
      <c r="F339" s="177"/>
      <c r="G339" s="177"/>
      <c r="H339" s="177"/>
      <c r="I339" s="177"/>
      <c r="J339" s="177"/>
      <c r="K339" s="177"/>
      <c r="L339" s="177"/>
      <c r="M339" s="177"/>
      <c r="N339" s="177"/>
      <c r="O339" s="177"/>
      <c r="P339" s="177"/>
      <c r="Q339" s="177"/>
      <c r="R339" s="177"/>
      <c r="S339" s="177"/>
      <c r="T339" s="177"/>
      <c r="U339" s="177"/>
      <c r="V339" s="177"/>
      <c r="W339" s="177"/>
      <c r="X339" s="177"/>
      <c r="Y339" s="177"/>
      <c r="Z339" s="177"/>
      <c r="AA339" s="177"/>
      <c r="AB339" s="177"/>
      <c r="AC339" s="177"/>
    </row>
    <row r="340">
      <c r="A340" s="177"/>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row>
    <row r="341">
      <c r="A341" s="177"/>
      <c r="B341" s="177"/>
      <c r="C341" s="177"/>
      <c r="D341" s="177"/>
      <c r="E341" s="177"/>
      <c r="F341" s="177"/>
      <c r="G341" s="177"/>
      <c r="H341" s="177"/>
      <c r="I341" s="177"/>
      <c r="J341" s="177"/>
      <c r="K341" s="177"/>
      <c r="L341" s="177"/>
      <c r="M341" s="177"/>
      <c r="N341" s="177"/>
      <c r="O341" s="177"/>
      <c r="P341" s="177"/>
      <c r="Q341" s="177"/>
      <c r="R341" s="177"/>
      <c r="S341" s="177"/>
      <c r="T341" s="177"/>
      <c r="U341" s="177"/>
      <c r="V341" s="177"/>
      <c r="W341" s="177"/>
      <c r="X341" s="177"/>
      <c r="Y341" s="177"/>
      <c r="Z341" s="177"/>
      <c r="AA341" s="177"/>
      <c r="AB341" s="177"/>
      <c r="AC341" s="177"/>
    </row>
    <row r="342">
      <c r="A342" s="177"/>
      <c r="B342" s="177"/>
      <c r="C342" s="177"/>
      <c r="D342" s="177"/>
      <c r="E342" s="177"/>
      <c r="F342" s="177"/>
      <c r="G342" s="177"/>
      <c r="H342" s="177"/>
      <c r="I342" s="177"/>
      <c r="J342" s="177"/>
      <c r="K342" s="177"/>
      <c r="L342" s="177"/>
      <c r="M342" s="177"/>
      <c r="N342" s="177"/>
      <c r="O342" s="177"/>
      <c r="P342" s="177"/>
      <c r="Q342" s="177"/>
      <c r="R342" s="177"/>
      <c r="S342" s="177"/>
      <c r="T342" s="177"/>
      <c r="U342" s="177"/>
      <c r="V342" s="177"/>
      <c r="W342" s="177"/>
      <c r="X342" s="177"/>
      <c r="Y342" s="177"/>
      <c r="Z342" s="177"/>
      <c r="AA342" s="177"/>
      <c r="AB342" s="177"/>
      <c r="AC342" s="177"/>
    </row>
    <row r="343">
      <c r="A343" s="177"/>
      <c r="B343" s="177"/>
      <c r="C343" s="177"/>
      <c r="D343" s="177"/>
      <c r="E343" s="177"/>
      <c r="F343" s="177"/>
      <c r="G343" s="177"/>
      <c r="H343" s="177"/>
      <c r="I343" s="177"/>
      <c r="J343" s="177"/>
      <c r="K343" s="177"/>
      <c r="L343" s="177"/>
      <c r="M343" s="177"/>
      <c r="N343" s="177"/>
      <c r="O343" s="177"/>
      <c r="P343" s="177"/>
      <c r="Q343" s="177"/>
      <c r="R343" s="177"/>
      <c r="S343" s="177"/>
      <c r="T343" s="177"/>
      <c r="U343" s="177"/>
      <c r="V343" s="177"/>
      <c r="W343" s="177"/>
      <c r="X343" s="177"/>
      <c r="Y343" s="177"/>
      <c r="Z343" s="177"/>
      <c r="AA343" s="177"/>
      <c r="AB343" s="177"/>
      <c r="AC343" s="177"/>
    </row>
    <row r="344">
      <c r="A344" s="177"/>
      <c r="B344" s="177"/>
      <c r="C344" s="177"/>
      <c r="D344" s="177"/>
      <c r="E344" s="177"/>
      <c r="F344" s="177"/>
      <c r="G344" s="177"/>
      <c r="H344" s="177"/>
      <c r="I344" s="177"/>
      <c r="J344" s="177"/>
      <c r="K344" s="177"/>
      <c r="L344" s="177"/>
      <c r="M344" s="177"/>
      <c r="N344" s="177"/>
      <c r="O344" s="177"/>
      <c r="P344" s="177"/>
      <c r="Q344" s="177"/>
      <c r="R344" s="177"/>
      <c r="S344" s="177"/>
      <c r="T344" s="177"/>
      <c r="U344" s="177"/>
      <c r="V344" s="177"/>
      <c r="W344" s="177"/>
      <c r="X344" s="177"/>
      <c r="Y344" s="177"/>
      <c r="Z344" s="177"/>
      <c r="AA344" s="177"/>
      <c r="AB344" s="177"/>
      <c r="AC344" s="177"/>
    </row>
    <row r="345">
      <c r="A345" s="177"/>
      <c r="B345" s="177"/>
      <c r="C345" s="177"/>
      <c r="D345" s="177"/>
      <c r="E345" s="177"/>
      <c r="F345" s="177"/>
      <c r="G345" s="177"/>
      <c r="H345" s="177"/>
      <c r="I345" s="177"/>
      <c r="J345" s="177"/>
      <c r="K345" s="177"/>
      <c r="L345" s="177"/>
      <c r="M345" s="177"/>
      <c r="N345" s="177"/>
      <c r="O345" s="177"/>
      <c r="P345" s="177"/>
      <c r="Q345" s="177"/>
      <c r="R345" s="177"/>
      <c r="S345" s="177"/>
      <c r="T345" s="177"/>
      <c r="U345" s="177"/>
      <c r="V345" s="177"/>
      <c r="W345" s="177"/>
      <c r="X345" s="177"/>
      <c r="Y345" s="177"/>
      <c r="Z345" s="177"/>
      <c r="AA345" s="177"/>
      <c r="AB345" s="177"/>
      <c r="AC345" s="177"/>
    </row>
    <row r="346">
      <c r="A346" s="177"/>
      <c r="B346" s="177"/>
      <c r="C346" s="177"/>
      <c r="D346" s="177"/>
      <c r="E346" s="177"/>
      <c r="F346" s="177"/>
      <c r="G346" s="177"/>
      <c r="H346" s="177"/>
      <c r="I346" s="177"/>
      <c r="J346" s="177"/>
      <c r="K346" s="177"/>
      <c r="L346" s="177"/>
      <c r="M346" s="177"/>
      <c r="N346" s="177"/>
      <c r="O346" s="177"/>
      <c r="P346" s="177"/>
      <c r="Q346" s="177"/>
      <c r="R346" s="177"/>
      <c r="S346" s="177"/>
      <c r="T346" s="177"/>
      <c r="U346" s="177"/>
      <c r="V346" s="177"/>
      <c r="W346" s="177"/>
      <c r="X346" s="177"/>
      <c r="Y346" s="177"/>
      <c r="Z346" s="177"/>
      <c r="AA346" s="177"/>
      <c r="AB346" s="177"/>
      <c r="AC346" s="177"/>
    </row>
    <row r="347">
      <c r="A347" s="177"/>
      <c r="B347" s="177"/>
      <c r="C347" s="177"/>
      <c r="D347" s="177"/>
      <c r="E347" s="177"/>
      <c r="F347" s="177"/>
      <c r="G347" s="177"/>
      <c r="H347" s="177"/>
      <c r="I347" s="177"/>
      <c r="J347" s="177"/>
      <c r="K347" s="177"/>
      <c r="L347" s="177"/>
      <c r="M347" s="177"/>
      <c r="N347" s="177"/>
      <c r="O347" s="177"/>
      <c r="P347" s="177"/>
      <c r="Q347" s="177"/>
      <c r="R347" s="177"/>
      <c r="S347" s="177"/>
      <c r="T347" s="177"/>
      <c r="U347" s="177"/>
      <c r="V347" s="177"/>
      <c r="W347" s="177"/>
      <c r="X347" s="177"/>
      <c r="Y347" s="177"/>
      <c r="Z347" s="177"/>
      <c r="AA347" s="177"/>
      <c r="AB347" s="177"/>
      <c r="AC347" s="177"/>
    </row>
    <row r="348">
      <c r="A348" s="177"/>
      <c r="B348" s="177"/>
      <c r="C348" s="177"/>
      <c r="D348" s="177"/>
      <c r="E348" s="177"/>
      <c r="F348" s="177"/>
      <c r="G348" s="177"/>
      <c r="H348" s="177"/>
      <c r="I348" s="177"/>
      <c r="J348" s="177"/>
      <c r="K348" s="177"/>
      <c r="L348" s="177"/>
      <c r="M348" s="177"/>
      <c r="N348" s="177"/>
      <c r="O348" s="177"/>
      <c r="P348" s="177"/>
      <c r="Q348" s="177"/>
      <c r="R348" s="177"/>
      <c r="S348" s="177"/>
      <c r="T348" s="177"/>
      <c r="U348" s="177"/>
      <c r="V348" s="177"/>
      <c r="W348" s="177"/>
      <c r="X348" s="177"/>
      <c r="Y348" s="177"/>
      <c r="Z348" s="177"/>
      <c r="AA348" s="177"/>
      <c r="AB348" s="177"/>
      <c r="AC348" s="177"/>
    </row>
    <row r="349">
      <c r="A349" s="177"/>
      <c r="B349" s="177"/>
      <c r="C349" s="177"/>
      <c r="D349" s="177"/>
      <c r="E349" s="177"/>
      <c r="F349" s="177"/>
      <c r="G349" s="177"/>
      <c r="H349" s="177"/>
      <c r="I349" s="177"/>
      <c r="J349" s="177"/>
      <c r="K349" s="177"/>
      <c r="L349" s="177"/>
      <c r="M349" s="177"/>
      <c r="N349" s="177"/>
      <c r="O349" s="177"/>
      <c r="P349" s="177"/>
      <c r="Q349" s="177"/>
      <c r="R349" s="177"/>
      <c r="S349" s="177"/>
      <c r="T349" s="177"/>
      <c r="U349" s="177"/>
      <c r="V349" s="177"/>
      <c r="W349" s="177"/>
      <c r="X349" s="177"/>
      <c r="Y349" s="177"/>
      <c r="Z349" s="177"/>
      <c r="AA349" s="177"/>
      <c r="AB349" s="177"/>
      <c r="AC349" s="177"/>
    </row>
    <row r="350">
      <c r="A350" s="177"/>
      <c r="B350" s="177"/>
      <c r="C350" s="177"/>
      <c r="D350" s="177"/>
      <c r="E350" s="177"/>
      <c r="F350" s="177"/>
      <c r="G350" s="177"/>
      <c r="H350" s="177"/>
      <c r="I350" s="177"/>
      <c r="J350" s="177"/>
      <c r="K350" s="177"/>
      <c r="L350" s="177"/>
      <c r="M350" s="177"/>
      <c r="N350" s="177"/>
      <c r="O350" s="177"/>
      <c r="P350" s="177"/>
      <c r="Q350" s="177"/>
      <c r="R350" s="177"/>
      <c r="S350" s="177"/>
      <c r="T350" s="177"/>
      <c r="U350" s="177"/>
      <c r="V350" s="177"/>
      <c r="W350" s="177"/>
      <c r="X350" s="177"/>
      <c r="Y350" s="177"/>
      <c r="Z350" s="177"/>
      <c r="AA350" s="177"/>
      <c r="AB350" s="177"/>
      <c r="AC350" s="177"/>
    </row>
    <row r="351">
      <c r="A351" s="177"/>
      <c r="B351" s="177"/>
      <c r="C351" s="177"/>
      <c r="D351" s="177"/>
      <c r="E351" s="177"/>
      <c r="F351" s="177"/>
      <c r="G351" s="177"/>
      <c r="H351" s="177"/>
      <c r="I351" s="177"/>
      <c r="J351" s="177"/>
      <c r="K351" s="177"/>
      <c r="L351" s="177"/>
      <c r="M351" s="177"/>
      <c r="N351" s="177"/>
      <c r="O351" s="177"/>
      <c r="P351" s="177"/>
      <c r="Q351" s="177"/>
      <c r="R351" s="177"/>
      <c r="S351" s="177"/>
      <c r="T351" s="177"/>
      <c r="U351" s="177"/>
      <c r="V351" s="177"/>
      <c r="W351" s="177"/>
      <c r="X351" s="177"/>
      <c r="Y351" s="177"/>
      <c r="Z351" s="177"/>
      <c r="AA351" s="177"/>
      <c r="AB351" s="177"/>
      <c r="AC351" s="177"/>
    </row>
    <row r="352">
      <c r="A352" s="177"/>
      <c r="B352" s="177"/>
      <c r="C352" s="177"/>
      <c r="D352" s="177"/>
      <c r="E352" s="177"/>
      <c r="F352" s="177"/>
      <c r="G352" s="177"/>
      <c r="H352" s="177"/>
      <c r="I352" s="177"/>
      <c r="J352" s="177"/>
      <c r="K352" s="177"/>
      <c r="L352" s="177"/>
      <c r="M352" s="177"/>
      <c r="N352" s="177"/>
      <c r="O352" s="177"/>
      <c r="P352" s="177"/>
      <c r="Q352" s="177"/>
      <c r="R352" s="177"/>
      <c r="S352" s="177"/>
      <c r="T352" s="177"/>
      <c r="U352" s="177"/>
      <c r="V352" s="177"/>
      <c r="W352" s="177"/>
      <c r="X352" s="177"/>
      <c r="Y352" s="177"/>
      <c r="Z352" s="177"/>
      <c r="AA352" s="177"/>
      <c r="AB352" s="177"/>
      <c r="AC352" s="177"/>
    </row>
    <row r="353">
      <c r="A353" s="177"/>
      <c r="B353" s="177"/>
      <c r="C353" s="177"/>
      <c r="D353" s="177"/>
      <c r="E353" s="177"/>
      <c r="F353" s="177"/>
      <c r="G353" s="177"/>
      <c r="H353" s="177"/>
      <c r="I353" s="177"/>
      <c r="J353" s="177"/>
      <c r="K353" s="177"/>
      <c r="L353" s="177"/>
      <c r="M353" s="177"/>
      <c r="N353" s="177"/>
      <c r="O353" s="177"/>
      <c r="P353" s="177"/>
      <c r="Q353" s="177"/>
      <c r="R353" s="177"/>
      <c r="S353" s="177"/>
      <c r="T353" s="177"/>
      <c r="U353" s="177"/>
      <c r="V353" s="177"/>
      <c r="W353" s="177"/>
      <c r="X353" s="177"/>
      <c r="Y353" s="177"/>
      <c r="Z353" s="177"/>
      <c r="AA353" s="177"/>
      <c r="AB353" s="177"/>
      <c r="AC353" s="177"/>
    </row>
    <row r="354">
      <c r="A354" s="177"/>
      <c r="B354" s="177"/>
      <c r="C354" s="177"/>
      <c r="D354" s="177"/>
      <c r="E354" s="177"/>
      <c r="F354" s="177"/>
      <c r="G354" s="177"/>
      <c r="H354" s="177"/>
      <c r="I354" s="177"/>
      <c r="J354" s="177"/>
      <c r="K354" s="177"/>
      <c r="L354" s="177"/>
      <c r="M354" s="177"/>
      <c r="N354" s="177"/>
      <c r="O354" s="177"/>
      <c r="P354" s="177"/>
      <c r="Q354" s="177"/>
      <c r="R354" s="177"/>
      <c r="S354" s="177"/>
      <c r="T354" s="177"/>
      <c r="U354" s="177"/>
      <c r="V354" s="177"/>
      <c r="W354" s="177"/>
      <c r="X354" s="177"/>
      <c r="Y354" s="177"/>
      <c r="Z354" s="177"/>
      <c r="AA354" s="177"/>
      <c r="AB354" s="177"/>
      <c r="AC354" s="177"/>
    </row>
    <row r="355">
      <c r="A355" s="177"/>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row>
    <row r="356">
      <c r="A356" s="177"/>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row>
    <row r="357">
      <c r="A357" s="177"/>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row>
    <row r="358">
      <c r="A358" s="177"/>
      <c r="B358" s="177"/>
      <c r="C358" s="177"/>
      <c r="D358" s="177"/>
      <c r="E358" s="177"/>
      <c r="F358" s="177"/>
      <c r="G358" s="177"/>
      <c r="H358" s="177"/>
      <c r="I358" s="177"/>
      <c r="J358" s="177"/>
      <c r="K358" s="177"/>
      <c r="L358" s="177"/>
      <c r="M358" s="177"/>
      <c r="N358" s="177"/>
      <c r="O358" s="177"/>
      <c r="P358" s="177"/>
      <c r="Q358" s="177"/>
      <c r="R358" s="177"/>
      <c r="S358" s="177"/>
      <c r="T358" s="177"/>
      <c r="U358" s="177"/>
      <c r="V358" s="177"/>
      <c r="W358" s="177"/>
      <c r="X358" s="177"/>
      <c r="Y358" s="177"/>
      <c r="Z358" s="177"/>
      <c r="AA358" s="177"/>
      <c r="AB358" s="177"/>
      <c r="AC358" s="177"/>
    </row>
    <row r="359">
      <c r="A359" s="177"/>
      <c r="B359" s="177"/>
      <c r="C359" s="177"/>
      <c r="D359" s="177"/>
      <c r="E359" s="177"/>
      <c r="F359" s="177"/>
      <c r="G359" s="177"/>
      <c r="H359" s="177"/>
      <c r="I359" s="177"/>
      <c r="J359" s="177"/>
      <c r="K359" s="177"/>
      <c r="L359" s="177"/>
      <c r="M359" s="177"/>
      <c r="N359" s="177"/>
      <c r="O359" s="177"/>
      <c r="P359" s="177"/>
      <c r="Q359" s="177"/>
      <c r="R359" s="177"/>
      <c r="S359" s="177"/>
      <c r="T359" s="177"/>
      <c r="U359" s="177"/>
      <c r="V359" s="177"/>
      <c r="W359" s="177"/>
      <c r="X359" s="177"/>
      <c r="Y359" s="177"/>
      <c r="Z359" s="177"/>
      <c r="AA359" s="177"/>
      <c r="AB359" s="177"/>
      <c r="AC359" s="177"/>
    </row>
    <row r="360">
      <c r="A360" s="177"/>
      <c r="B360" s="177"/>
      <c r="C360" s="177"/>
      <c r="D360" s="177"/>
      <c r="E360" s="177"/>
      <c r="F360" s="177"/>
      <c r="G360" s="177"/>
      <c r="H360" s="177"/>
      <c r="I360" s="177"/>
      <c r="J360" s="177"/>
      <c r="K360" s="177"/>
      <c r="L360" s="177"/>
      <c r="M360" s="177"/>
      <c r="N360" s="177"/>
      <c r="O360" s="177"/>
      <c r="P360" s="177"/>
      <c r="Q360" s="177"/>
      <c r="R360" s="177"/>
      <c r="S360" s="177"/>
      <c r="T360" s="177"/>
      <c r="U360" s="177"/>
      <c r="V360" s="177"/>
      <c r="W360" s="177"/>
      <c r="X360" s="177"/>
      <c r="Y360" s="177"/>
      <c r="Z360" s="177"/>
      <c r="AA360" s="177"/>
      <c r="AB360" s="177"/>
      <c r="AC360" s="177"/>
    </row>
    <row r="361">
      <c r="A361" s="177"/>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row>
    <row r="362">
      <c r="A362" s="177"/>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row>
    <row r="363">
      <c r="A363" s="177"/>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row>
    <row r="364">
      <c r="A364" s="177"/>
      <c r="B364" s="177"/>
      <c r="C364" s="177"/>
      <c r="D364" s="177"/>
      <c r="E364" s="177"/>
      <c r="F364" s="177"/>
      <c r="G364" s="177"/>
      <c r="H364" s="177"/>
      <c r="I364" s="177"/>
      <c r="J364" s="177"/>
      <c r="K364" s="177"/>
      <c r="L364" s="177"/>
      <c r="M364" s="177"/>
      <c r="N364" s="177"/>
      <c r="O364" s="177"/>
      <c r="P364" s="177"/>
      <c r="Q364" s="177"/>
      <c r="R364" s="177"/>
      <c r="S364" s="177"/>
      <c r="T364" s="177"/>
      <c r="U364" s="177"/>
      <c r="V364" s="177"/>
      <c r="W364" s="177"/>
      <c r="X364" s="177"/>
      <c r="Y364" s="177"/>
      <c r="Z364" s="177"/>
      <c r="AA364" s="177"/>
      <c r="AB364" s="177"/>
      <c r="AC364" s="177"/>
    </row>
    <row r="365">
      <c r="A365" s="177"/>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row>
    <row r="366">
      <c r="A366" s="177"/>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row>
    <row r="367">
      <c r="A367" s="177"/>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row>
    <row r="368">
      <c r="A368" s="177"/>
      <c r="B368" s="177"/>
      <c r="C368" s="177"/>
      <c r="D368" s="177"/>
      <c r="E368" s="177"/>
      <c r="F368" s="177"/>
      <c r="G368" s="177"/>
      <c r="H368" s="177"/>
      <c r="I368" s="177"/>
      <c r="J368" s="177"/>
      <c r="K368" s="177"/>
      <c r="L368" s="177"/>
      <c r="M368" s="177"/>
      <c r="N368" s="177"/>
      <c r="O368" s="177"/>
      <c r="P368" s="177"/>
      <c r="Q368" s="177"/>
      <c r="R368" s="177"/>
      <c r="S368" s="177"/>
      <c r="T368" s="177"/>
      <c r="U368" s="177"/>
      <c r="V368" s="177"/>
      <c r="W368" s="177"/>
      <c r="X368" s="177"/>
      <c r="Y368" s="177"/>
      <c r="Z368" s="177"/>
      <c r="AA368" s="177"/>
      <c r="AB368" s="177"/>
      <c r="AC368" s="177"/>
    </row>
    <row r="369">
      <c r="A369" s="177"/>
      <c r="B369" s="177"/>
      <c r="C369" s="177"/>
      <c r="D369" s="177"/>
      <c r="E369" s="177"/>
      <c r="F369" s="177"/>
      <c r="G369" s="177"/>
      <c r="H369" s="177"/>
      <c r="I369" s="177"/>
      <c r="J369" s="177"/>
      <c r="K369" s="177"/>
      <c r="L369" s="177"/>
      <c r="M369" s="177"/>
      <c r="N369" s="177"/>
      <c r="O369" s="177"/>
      <c r="P369" s="177"/>
      <c r="Q369" s="177"/>
      <c r="R369" s="177"/>
      <c r="S369" s="177"/>
      <c r="T369" s="177"/>
      <c r="U369" s="177"/>
      <c r="V369" s="177"/>
      <c r="W369" s="177"/>
      <c r="X369" s="177"/>
      <c r="Y369" s="177"/>
      <c r="Z369" s="177"/>
      <c r="AA369" s="177"/>
      <c r="AB369" s="177"/>
      <c r="AC369" s="177"/>
    </row>
    <row r="370">
      <c r="A370" s="177"/>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row>
    <row r="371">
      <c r="A371" s="177"/>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row>
    <row r="372">
      <c r="A372" s="177"/>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row>
    <row r="373">
      <c r="A373" s="177"/>
      <c r="B373" s="177"/>
      <c r="C373" s="177"/>
      <c r="D373" s="177"/>
      <c r="E373" s="177"/>
      <c r="F373" s="177"/>
      <c r="G373" s="177"/>
      <c r="H373" s="177"/>
      <c r="I373" s="177"/>
      <c r="J373" s="177"/>
      <c r="K373" s="177"/>
      <c r="L373" s="177"/>
      <c r="M373" s="177"/>
      <c r="N373" s="177"/>
      <c r="O373" s="177"/>
      <c r="P373" s="177"/>
      <c r="Q373" s="177"/>
      <c r="R373" s="177"/>
      <c r="S373" s="177"/>
      <c r="T373" s="177"/>
      <c r="U373" s="177"/>
      <c r="V373" s="177"/>
      <c r="W373" s="177"/>
      <c r="X373" s="177"/>
      <c r="Y373" s="177"/>
      <c r="Z373" s="177"/>
      <c r="AA373" s="177"/>
      <c r="AB373" s="177"/>
      <c r="AC373" s="177"/>
    </row>
    <row r="374">
      <c r="A374" s="177"/>
      <c r="B374" s="177"/>
      <c r="C374" s="177"/>
      <c r="D374" s="177"/>
      <c r="E374" s="177"/>
      <c r="F374" s="177"/>
      <c r="G374" s="177"/>
      <c r="H374" s="177"/>
      <c r="I374" s="177"/>
      <c r="J374" s="177"/>
      <c r="K374" s="177"/>
      <c r="L374" s="177"/>
      <c r="M374" s="177"/>
      <c r="N374" s="177"/>
      <c r="O374" s="177"/>
      <c r="P374" s="177"/>
      <c r="Q374" s="177"/>
      <c r="R374" s="177"/>
      <c r="S374" s="177"/>
      <c r="T374" s="177"/>
      <c r="U374" s="177"/>
      <c r="V374" s="177"/>
      <c r="W374" s="177"/>
      <c r="X374" s="177"/>
      <c r="Y374" s="177"/>
      <c r="Z374" s="177"/>
      <c r="AA374" s="177"/>
      <c r="AB374" s="177"/>
      <c r="AC374" s="177"/>
    </row>
    <row r="375">
      <c r="A375" s="177"/>
      <c r="B375" s="177"/>
      <c r="C375" s="177"/>
      <c r="D375" s="177"/>
      <c r="E375" s="177"/>
      <c r="F375" s="177"/>
      <c r="G375" s="177"/>
      <c r="H375" s="177"/>
      <c r="I375" s="177"/>
      <c r="J375" s="177"/>
      <c r="K375" s="177"/>
      <c r="L375" s="177"/>
      <c r="M375" s="177"/>
      <c r="N375" s="177"/>
      <c r="O375" s="177"/>
      <c r="P375" s="177"/>
      <c r="Q375" s="177"/>
      <c r="R375" s="177"/>
      <c r="S375" s="177"/>
      <c r="T375" s="177"/>
      <c r="U375" s="177"/>
      <c r="V375" s="177"/>
      <c r="W375" s="177"/>
      <c r="X375" s="177"/>
      <c r="Y375" s="177"/>
      <c r="Z375" s="177"/>
      <c r="AA375" s="177"/>
      <c r="AB375" s="177"/>
      <c r="AC375" s="177"/>
    </row>
    <row r="376">
      <c r="A376" s="177"/>
      <c r="B376" s="177"/>
      <c r="C376" s="177"/>
      <c r="D376" s="177"/>
      <c r="E376" s="177"/>
      <c r="F376" s="177"/>
      <c r="G376" s="177"/>
      <c r="H376" s="177"/>
      <c r="I376" s="177"/>
      <c r="J376" s="177"/>
      <c r="K376" s="177"/>
      <c r="L376" s="177"/>
      <c r="M376" s="177"/>
      <c r="N376" s="177"/>
      <c r="O376" s="177"/>
      <c r="P376" s="177"/>
      <c r="Q376" s="177"/>
      <c r="R376" s="177"/>
      <c r="S376" s="177"/>
      <c r="T376" s="177"/>
      <c r="U376" s="177"/>
      <c r="V376" s="177"/>
      <c r="W376" s="177"/>
      <c r="X376" s="177"/>
      <c r="Y376" s="177"/>
      <c r="Z376" s="177"/>
      <c r="AA376" s="177"/>
      <c r="AB376" s="177"/>
      <c r="AC376" s="177"/>
    </row>
    <row r="377">
      <c r="A377" s="177"/>
      <c r="B377" s="177"/>
      <c r="C377" s="177"/>
      <c r="D377" s="177"/>
      <c r="E377" s="177"/>
      <c r="F377" s="177"/>
      <c r="G377" s="177"/>
      <c r="H377" s="177"/>
      <c r="I377" s="177"/>
      <c r="J377" s="177"/>
      <c r="K377" s="177"/>
      <c r="L377" s="177"/>
      <c r="M377" s="177"/>
      <c r="N377" s="177"/>
      <c r="O377" s="177"/>
      <c r="P377" s="177"/>
      <c r="Q377" s="177"/>
      <c r="R377" s="177"/>
      <c r="S377" s="177"/>
      <c r="T377" s="177"/>
      <c r="U377" s="177"/>
      <c r="V377" s="177"/>
      <c r="W377" s="177"/>
      <c r="X377" s="177"/>
      <c r="Y377" s="177"/>
      <c r="Z377" s="177"/>
      <c r="AA377" s="177"/>
      <c r="AB377" s="177"/>
      <c r="AC377" s="177"/>
    </row>
    <row r="378">
      <c r="A378" s="177"/>
      <c r="B378" s="177"/>
      <c r="C378" s="177"/>
      <c r="D378" s="177"/>
      <c r="E378" s="177"/>
      <c r="F378" s="177"/>
      <c r="G378" s="177"/>
      <c r="H378" s="177"/>
      <c r="I378" s="177"/>
      <c r="J378" s="177"/>
      <c r="K378" s="177"/>
      <c r="L378" s="177"/>
      <c r="M378" s="177"/>
      <c r="N378" s="177"/>
      <c r="O378" s="177"/>
      <c r="P378" s="177"/>
      <c r="Q378" s="177"/>
      <c r="R378" s="177"/>
      <c r="S378" s="177"/>
      <c r="T378" s="177"/>
      <c r="U378" s="177"/>
      <c r="V378" s="177"/>
      <c r="W378" s="177"/>
      <c r="X378" s="177"/>
      <c r="Y378" s="177"/>
      <c r="Z378" s="177"/>
      <c r="AA378" s="177"/>
      <c r="AB378" s="177"/>
      <c r="AC378" s="177"/>
    </row>
    <row r="379">
      <c r="A379" s="177"/>
      <c r="B379" s="177"/>
      <c r="C379" s="177"/>
      <c r="D379" s="177"/>
      <c r="E379" s="177"/>
      <c r="F379" s="177"/>
      <c r="G379" s="177"/>
      <c r="H379" s="177"/>
      <c r="I379" s="177"/>
      <c r="J379" s="177"/>
      <c r="K379" s="177"/>
      <c r="L379" s="177"/>
      <c r="M379" s="177"/>
      <c r="N379" s="177"/>
      <c r="O379" s="177"/>
      <c r="P379" s="177"/>
      <c r="Q379" s="177"/>
      <c r="R379" s="177"/>
      <c r="S379" s="177"/>
      <c r="T379" s="177"/>
      <c r="U379" s="177"/>
      <c r="V379" s="177"/>
      <c r="W379" s="177"/>
      <c r="X379" s="177"/>
      <c r="Y379" s="177"/>
      <c r="Z379" s="177"/>
      <c r="AA379" s="177"/>
      <c r="AB379" s="177"/>
      <c r="AC379" s="177"/>
    </row>
    <row r="380">
      <c r="A380" s="177"/>
      <c r="B380" s="177"/>
      <c r="C380" s="177"/>
      <c r="D380" s="177"/>
      <c r="E380" s="177"/>
      <c r="F380" s="177"/>
      <c r="G380" s="177"/>
      <c r="H380" s="177"/>
      <c r="I380" s="177"/>
      <c r="J380" s="177"/>
      <c r="K380" s="177"/>
      <c r="L380" s="177"/>
      <c r="M380" s="177"/>
      <c r="N380" s="177"/>
      <c r="O380" s="177"/>
      <c r="P380" s="177"/>
      <c r="Q380" s="177"/>
      <c r="R380" s="177"/>
      <c r="S380" s="177"/>
      <c r="T380" s="177"/>
      <c r="U380" s="177"/>
      <c r="V380" s="177"/>
      <c r="W380" s="177"/>
      <c r="X380" s="177"/>
      <c r="Y380" s="177"/>
      <c r="Z380" s="177"/>
      <c r="AA380" s="177"/>
      <c r="AB380" s="177"/>
      <c r="AC380" s="177"/>
    </row>
    <row r="381">
      <c r="A381" s="177"/>
      <c r="B381" s="177"/>
      <c r="C381" s="177"/>
      <c r="D381" s="177"/>
      <c r="E381" s="177"/>
      <c r="F381" s="177"/>
      <c r="G381" s="177"/>
      <c r="H381" s="177"/>
      <c r="I381" s="177"/>
      <c r="J381" s="177"/>
      <c r="K381" s="177"/>
      <c r="L381" s="177"/>
      <c r="M381" s="177"/>
      <c r="N381" s="177"/>
      <c r="O381" s="177"/>
      <c r="P381" s="177"/>
      <c r="Q381" s="177"/>
      <c r="R381" s="177"/>
      <c r="S381" s="177"/>
      <c r="T381" s="177"/>
      <c r="U381" s="177"/>
      <c r="V381" s="177"/>
      <c r="W381" s="177"/>
      <c r="X381" s="177"/>
      <c r="Y381" s="177"/>
      <c r="Z381" s="177"/>
      <c r="AA381" s="177"/>
      <c r="AB381" s="177"/>
      <c r="AC381" s="177"/>
    </row>
    <row r="382">
      <c r="A382" s="177"/>
      <c r="B382" s="177"/>
      <c r="C382" s="177"/>
      <c r="D382" s="177"/>
      <c r="E382" s="177"/>
      <c r="F382" s="177"/>
      <c r="G382" s="177"/>
      <c r="H382" s="177"/>
      <c r="I382" s="177"/>
      <c r="J382" s="177"/>
      <c r="K382" s="177"/>
      <c r="L382" s="177"/>
      <c r="M382" s="177"/>
      <c r="N382" s="177"/>
      <c r="O382" s="177"/>
      <c r="P382" s="177"/>
      <c r="Q382" s="177"/>
      <c r="R382" s="177"/>
      <c r="S382" s="177"/>
      <c r="T382" s="177"/>
      <c r="U382" s="177"/>
      <c r="V382" s="177"/>
      <c r="W382" s="177"/>
      <c r="X382" s="177"/>
      <c r="Y382" s="177"/>
      <c r="Z382" s="177"/>
      <c r="AA382" s="177"/>
      <c r="AB382" s="177"/>
      <c r="AC382" s="177"/>
    </row>
    <row r="383">
      <c r="A383" s="177"/>
      <c r="B383" s="177"/>
      <c r="C383" s="177"/>
      <c r="D383" s="177"/>
      <c r="E383" s="177"/>
      <c r="F383" s="177"/>
      <c r="G383" s="177"/>
      <c r="H383" s="177"/>
      <c r="I383" s="177"/>
      <c r="J383" s="177"/>
      <c r="K383" s="177"/>
      <c r="L383" s="177"/>
      <c r="M383" s="177"/>
      <c r="N383" s="177"/>
      <c r="O383" s="177"/>
      <c r="P383" s="177"/>
      <c r="Q383" s="177"/>
      <c r="R383" s="177"/>
      <c r="S383" s="177"/>
      <c r="T383" s="177"/>
      <c r="U383" s="177"/>
      <c r="V383" s="177"/>
      <c r="W383" s="177"/>
      <c r="X383" s="177"/>
      <c r="Y383" s="177"/>
      <c r="Z383" s="177"/>
      <c r="AA383" s="177"/>
      <c r="AB383" s="177"/>
      <c r="AC383" s="177"/>
    </row>
    <row r="384">
      <c r="A384" s="177"/>
      <c r="B384" s="177"/>
      <c r="C384" s="177"/>
      <c r="D384" s="177"/>
      <c r="E384" s="177"/>
      <c r="F384" s="177"/>
      <c r="G384" s="177"/>
      <c r="H384" s="177"/>
      <c r="I384" s="177"/>
      <c r="J384" s="177"/>
      <c r="K384" s="177"/>
      <c r="L384" s="177"/>
      <c r="M384" s="177"/>
      <c r="N384" s="177"/>
      <c r="O384" s="177"/>
      <c r="P384" s="177"/>
      <c r="Q384" s="177"/>
      <c r="R384" s="177"/>
      <c r="S384" s="177"/>
      <c r="T384" s="177"/>
      <c r="U384" s="177"/>
      <c r="V384" s="177"/>
      <c r="W384" s="177"/>
      <c r="X384" s="177"/>
      <c r="Y384" s="177"/>
      <c r="Z384" s="177"/>
      <c r="AA384" s="177"/>
      <c r="AB384" s="177"/>
      <c r="AC384" s="177"/>
    </row>
    <row r="385">
      <c r="A385" s="177"/>
      <c r="B385" s="177"/>
      <c r="C385" s="177"/>
      <c r="D385" s="177"/>
      <c r="E385" s="177"/>
      <c r="F385" s="177"/>
      <c r="G385" s="177"/>
      <c r="H385" s="177"/>
      <c r="I385" s="177"/>
      <c r="J385" s="177"/>
      <c r="K385" s="177"/>
      <c r="L385" s="177"/>
      <c r="M385" s="177"/>
      <c r="N385" s="177"/>
      <c r="O385" s="177"/>
      <c r="P385" s="177"/>
      <c r="Q385" s="177"/>
      <c r="R385" s="177"/>
      <c r="S385" s="177"/>
      <c r="T385" s="177"/>
      <c r="U385" s="177"/>
      <c r="V385" s="177"/>
      <c r="W385" s="177"/>
      <c r="X385" s="177"/>
      <c r="Y385" s="177"/>
      <c r="Z385" s="177"/>
      <c r="AA385" s="177"/>
      <c r="AB385" s="177"/>
      <c r="AC385" s="177"/>
    </row>
    <row r="386">
      <c r="A386" s="177"/>
      <c r="B386" s="177"/>
      <c r="C386" s="177"/>
      <c r="D386" s="177"/>
      <c r="E386" s="177"/>
      <c r="F386" s="177"/>
      <c r="G386" s="177"/>
      <c r="H386" s="177"/>
      <c r="I386" s="177"/>
      <c r="J386" s="177"/>
      <c r="K386" s="177"/>
      <c r="L386" s="177"/>
      <c r="M386" s="177"/>
      <c r="N386" s="177"/>
      <c r="O386" s="177"/>
      <c r="P386" s="177"/>
      <c r="Q386" s="177"/>
      <c r="R386" s="177"/>
      <c r="S386" s="177"/>
      <c r="T386" s="177"/>
      <c r="U386" s="177"/>
      <c r="V386" s="177"/>
      <c r="W386" s="177"/>
      <c r="X386" s="177"/>
      <c r="Y386" s="177"/>
      <c r="Z386" s="177"/>
      <c r="AA386" s="177"/>
      <c r="AB386" s="177"/>
      <c r="AC386" s="177"/>
    </row>
    <row r="387">
      <c r="A387" s="177"/>
      <c r="B387" s="177"/>
      <c r="C387" s="177"/>
      <c r="D387" s="177"/>
      <c r="E387" s="177"/>
      <c r="F387" s="177"/>
      <c r="G387" s="177"/>
      <c r="H387" s="177"/>
      <c r="I387" s="177"/>
      <c r="J387" s="177"/>
      <c r="K387" s="177"/>
      <c r="L387" s="177"/>
      <c r="M387" s="177"/>
      <c r="N387" s="177"/>
      <c r="O387" s="177"/>
      <c r="P387" s="177"/>
      <c r="Q387" s="177"/>
      <c r="R387" s="177"/>
      <c r="S387" s="177"/>
      <c r="T387" s="177"/>
      <c r="U387" s="177"/>
      <c r="V387" s="177"/>
      <c r="W387" s="177"/>
      <c r="X387" s="177"/>
      <c r="Y387" s="177"/>
      <c r="Z387" s="177"/>
      <c r="AA387" s="177"/>
      <c r="AB387" s="177"/>
      <c r="AC387" s="177"/>
    </row>
    <row r="388">
      <c r="A388" s="177"/>
      <c r="B388" s="177"/>
      <c r="C388" s="177"/>
      <c r="D388" s="177"/>
      <c r="E388" s="177"/>
      <c r="F388" s="177"/>
      <c r="G388" s="177"/>
      <c r="H388" s="177"/>
      <c r="I388" s="177"/>
      <c r="J388" s="177"/>
      <c r="K388" s="177"/>
      <c r="L388" s="177"/>
      <c r="M388" s="177"/>
      <c r="N388" s="177"/>
      <c r="O388" s="177"/>
      <c r="P388" s="177"/>
      <c r="Q388" s="177"/>
      <c r="R388" s="177"/>
      <c r="S388" s="177"/>
      <c r="T388" s="177"/>
      <c r="U388" s="177"/>
      <c r="V388" s="177"/>
      <c r="W388" s="177"/>
      <c r="X388" s="177"/>
      <c r="Y388" s="177"/>
      <c r="Z388" s="177"/>
      <c r="AA388" s="177"/>
      <c r="AB388" s="177"/>
      <c r="AC388" s="177"/>
    </row>
    <row r="389">
      <c r="A389" s="177"/>
      <c r="B389" s="177"/>
      <c r="C389" s="177"/>
      <c r="D389" s="177"/>
      <c r="E389" s="177"/>
      <c r="F389" s="177"/>
      <c r="G389" s="177"/>
      <c r="H389" s="177"/>
      <c r="I389" s="177"/>
      <c r="J389" s="177"/>
      <c r="K389" s="177"/>
      <c r="L389" s="177"/>
      <c r="M389" s="177"/>
      <c r="N389" s="177"/>
      <c r="O389" s="177"/>
      <c r="P389" s="177"/>
      <c r="Q389" s="177"/>
      <c r="R389" s="177"/>
      <c r="S389" s="177"/>
      <c r="T389" s="177"/>
      <c r="U389" s="177"/>
      <c r="V389" s="177"/>
      <c r="W389" s="177"/>
      <c r="X389" s="177"/>
      <c r="Y389" s="177"/>
      <c r="Z389" s="177"/>
      <c r="AA389" s="177"/>
      <c r="AB389" s="177"/>
      <c r="AC389" s="177"/>
    </row>
    <row r="390">
      <c r="A390" s="177"/>
      <c r="B390" s="177"/>
      <c r="C390" s="177"/>
      <c r="D390" s="177"/>
      <c r="E390" s="177"/>
      <c r="F390" s="177"/>
      <c r="G390" s="177"/>
      <c r="H390" s="177"/>
      <c r="I390" s="177"/>
      <c r="J390" s="177"/>
      <c r="K390" s="177"/>
      <c r="L390" s="177"/>
      <c r="M390" s="177"/>
      <c r="N390" s="177"/>
      <c r="O390" s="177"/>
      <c r="P390" s="177"/>
      <c r="Q390" s="177"/>
      <c r="R390" s="177"/>
      <c r="S390" s="177"/>
      <c r="T390" s="177"/>
      <c r="U390" s="177"/>
      <c r="V390" s="177"/>
      <c r="W390" s="177"/>
      <c r="X390" s="177"/>
      <c r="Y390" s="177"/>
      <c r="Z390" s="177"/>
      <c r="AA390" s="177"/>
      <c r="AB390" s="177"/>
      <c r="AC390" s="177"/>
    </row>
    <row r="391">
      <c r="A391" s="177"/>
      <c r="B391" s="177"/>
      <c r="C391" s="177"/>
      <c r="D391" s="177"/>
      <c r="E391" s="177"/>
      <c r="F391" s="177"/>
      <c r="G391" s="177"/>
      <c r="H391" s="177"/>
      <c r="I391" s="177"/>
      <c r="J391" s="177"/>
      <c r="K391" s="177"/>
      <c r="L391" s="177"/>
      <c r="M391" s="177"/>
      <c r="N391" s="177"/>
      <c r="O391" s="177"/>
      <c r="P391" s="177"/>
      <c r="Q391" s="177"/>
      <c r="R391" s="177"/>
      <c r="S391" s="177"/>
      <c r="T391" s="177"/>
      <c r="U391" s="177"/>
      <c r="V391" s="177"/>
      <c r="W391" s="177"/>
      <c r="X391" s="177"/>
      <c r="Y391" s="177"/>
      <c r="Z391" s="177"/>
      <c r="AA391" s="177"/>
      <c r="AB391" s="177"/>
      <c r="AC391" s="177"/>
    </row>
    <row r="392">
      <c r="A392" s="177"/>
      <c r="B392" s="177"/>
      <c r="C392" s="177"/>
      <c r="D392" s="177"/>
      <c r="E392" s="177"/>
      <c r="F392" s="177"/>
      <c r="G392" s="177"/>
      <c r="H392" s="177"/>
      <c r="I392" s="177"/>
      <c r="J392" s="177"/>
      <c r="K392" s="177"/>
      <c r="L392" s="177"/>
      <c r="M392" s="177"/>
      <c r="N392" s="177"/>
      <c r="O392" s="177"/>
      <c r="P392" s="177"/>
      <c r="Q392" s="177"/>
      <c r="R392" s="177"/>
      <c r="S392" s="177"/>
      <c r="T392" s="177"/>
      <c r="U392" s="177"/>
      <c r="V392" s="177"/>
      <c r="W392" s="177"/>
      <c r="X392" s="177"/>
      <c r="Y392" s="177"/>
      <c r="Z392" s="177"/>
      <c r="AA392" s="177"/>
      <c r="AB392" s="177"/>
      <c r="AC392" s="177"/>
    </row>
    <row r="393">
      <c r="A393" s="177"/>
      <c r="B393" s="177"/>
      <c r="C393" s="177"/>
      <c r="D393" s="177"/>
      <c r="E393" s="177"/>
      <c r="F393" s="177"/>
      <c r="G393" s="177"/>
      <c r="H393" s="177"/>
      <c r="I393" s="177"/>
      <c r="J393" s="177"/>
      <c r="K393" s="177"/>
      <c r="L393" s="177"/>
      <c r="M393" s="177"/>
      <c r="N393" s="177"/>
      <c r="O393" s="177"/>
      <c r="P393" s="177"/>
      <c r="Q393" s="177"/>
      <c r="R393" s="177"/>
      <c r="S393" s="177"/>
      <c r="T393" s="177"/>
      <c r="U393" s="177"/>
      <c r="V393" s="177"/>
      <c r="W393" s="177"/>
      <c r="X393" s="177"/>
      <c r="Y393" s="177"/>
      <c r="Z393" s="177"/>
      <c r="AA393" s="177"/>
      <c r="AB393" s="177"/>
      <c r="AC393" s="177"/>
    </row>
    <row r="394">
      <c r="A394" s="177"/>
      <c r="B394" s="177"/>
      <c r="C394" s="177"/>
      <c r="D394" s="177"/>
      <c r="E394" s="177"/>
      <c r="F394" s="177"/>
      <c r="G394" s="177"/>
      <c r="H394" s="177"/>
      <c r="I394" s="177"/>
      <c r="J394" s="177"/>
      <c r="K394" s="177"/>
      <c r="L394" s="177"/>
      <c r="M394" s="177"/>
      <c r="N394" s="177"/>
      <c r="O394" s="177"/>
      <c r="P394" s="177"/>
      <c r="Q394" s="177"/>
      <c r="R394" s="177"/>
      <c r="S394" s="177"/>
      <c r="T394" s="177"/>
      <c r="U394" s="177"/>
      <c r="V394" s="177"/>
      <c r="W394" s="177"/>
      <c r="X394" s="177"/>
      <c r="Y394" s="177"/>
      <c r="Z394" s="177"/>
      <c r="AA394" s="177"/>
      <c r="AB394" s="177"/>
      <c r="AC394" s="177"/>
    </row>
    <row r="395">
      <c r="A395" s="177"/>
      <c r="B395" s="177"/>
      <c r="C395" s="177"/>
      <c r="D395" s="177"/>
      <c r="E395" s="177"/>
      <c r="F395" s="177"/>
      <c r="G395" s="177"/>
      <c r="H395" s="177"/>
      <c r="I395" s="177"/>
      <c r="J395" s="177"/>
      <c r="K395" s="177"/>
      <c r="L395" s="177"/>
      <c r="M395" s="177"/>
      <c r="N395" s="177"/>
      <c r="O395" s="177"/>
      <c r="P395" s="177"/>
      <c r="Q395" s="177"/>
      <c r="R395" s="177"/>
      <c r="S395" s="177"/>
      <c r="T395" s="177"/>
      <c r="U395" s="177"/>
      <c r="V395" s="177"/>
      <c r="W395" s="177"/>
      <c r="X395" s="177"/>
      <c r="Y395" s="177"/>
      <c r="Z395" s="177"/>
      <c r="AA395" s="177"/>
      <c r="AB395" s="177"/>
      <c r="AC395" s="177"/>
    </row>
    <row r="396">
      <c r="A396" s="177"/>
      <c r="B396" s="177"/>
      <c r="C396" s="177"/>
      <c r="D396" s="177"/>
      <c r="E396" s="177"/>
      <c r="F396" s="177"/>
      <c r="G396" s="177"/>
      <c r="H396" s="177"/>
      <c r="I396" s="177"/>
      <c r="J396" s="177"/>
      <c r="K396" s="177"/>
      <c r="L396" s="177"/>
      <c r="M396" s="177"/>
      <c r="N396" s="177"/>
      <c r="O396" s="177"/>
      <c r="P396" s="177"/>
      <c r="Q396" s="177"/>
      <c r="R396" s="177"/>
      <c r="S396" s="177"/>
      <c r="T396" s="177"/>
      <c r="U396" s="177"/>
      <c r="V396" s="177"/>
      <c r="W396" s="177"/>
      <c r="X396" s="177"/>
      <c r="Y396" s="177"/>
      <c r="Z396" s="177"/>
      <c r="AA396" s="177"/>
      <c r="AB396" s="177"/>
      <c r="AC396" s="177"/>
    </row>
    <row r="397">
      <c r="A397" s="177"/>
      <c r="B397" s="177"/>
      <c r="C397" s="177"/>
      <c r="D397" s="177"/>
      <c r="E397" s="177"/>
      <c r="F397" s="177"/>
      <c r="G397" s="177"/>
      <c r="H397" s="177"/>
      <c r="I397" s="177"/>
      <c r="J397" s="177"/>
      <c r="K397" s="177"/>
      <c r="L397" s="177"/>
      <c r="M397" s="177"/>
      <c r="N397" s="177"/>
      <c r="O397" s="177"/>
      <c r="P397" s="177"/>
      <c r="Q397" s="177"/>
      <c r="R397" s="177"/>
      <c r="S397" s="177"/>
      <c r="T397" s="177"/>
      <c r="U397" s="177"/>
      <c r="V397" s="177"/>
      <c r="W397" s="177"/>
      <c r="X397" s="177"/>
      <c r="Y397" s="177"/>
      <c r="Z397" s="177"/>
      <c r="AA397" s="177"/>
      <c r="AB397" s="177"/>
      <c r="AC397" s="177"/>
    </row>
    <row r="398">
      <c r="A398" s="177"/>
      <c r="B398" s="177"/>
      <c r="C398" s="177"/>
      <c r="D398" s="177"/>
      <c r="E398" s="177"/>
      <c r="F398" s="177"/>
      <c r="G398" s="177"/>
      <c r="H398" s="177"/>
      <c r="I398" s="177"/>
      <c r="J398" s="177"/>
      <c r="K398" s="177"/>
      <c r="L398" s="177"/>
      <c r="M398" s="177"/>
      <c r="N398" s="177"/>
      <c r="O398" s="177"/>
      <c r="P398" s="177"/>
      <c r="Q398" s="177"/>
      <c r="R398" s="177"/>
      <c r="S398" s="177"/>
      <c r="T398" s="177"/>
      <c r="U398" s="177"/>
      <c r="V398" s="177"/>
      <c r="W398" s="177"/>
      <c r="X398" s="177"/>
      <c r="Y398" s="177"/>
      <c r="Z398" s="177"/>
      <c r="AA398" s="177"/>
      <c r="AB398" s="177"/>
      <c r="AC398" s="177"/>
    </row>
    <row r="399">
      <c r="A399" s="177"/>
      <c r="B399" s="177"/>
      <c r="C399" s="177"/>
      <c r="D399" s="177"/>
      <c r="E399" s="177"/>
      <c r="F399" s="177"/>
      <c r="G399" s="177"/>
      <c r="H399" s="177"/>
      <c r="I399" s="177"/>
      <c r="J399" s="177"/>
      <c r="K399" s="177"/>
      <c r="L399" s="177"/>
      <c r="M399" s="177"/>
      <c r="N399" s="177"/>
      <c r="O399" s="177"/>
      <c r="P399" s="177"/>
      <c r="Q399" s="177"/>
      <c r="R399" s="177"/>
      <c r="S399" s="177"/>
      <c r="T399" s="177"/>
      <c r="U399" s="177"/>
      <c r="V399" s="177"/>
      <c r="W399" s="177"/>
      <c r="X399" s="177"/>
      <c r="Y399" s="177"/>
      <c r="Z399" s="177"/>
      <c r="AA399" s="177"/>
      <c r="AB399" s="177"/>
      <c r="AC399" s="177"/>
    </row>
    <row r="400">
      <c r="A400" s="177"/>
      <c r="B400" s="177"/>
      <c r="C400" s="177"/>
      <c r="D400" s="177"/>
      <c r="E400" s="177"/>
      <c r="F400" s="177"/>
      <c r="G400" s="177"/>
      <c r="H400" s="177"/>
      <c r="I400" s="177"/>
      <c r="J400" s="177"/>
      <c r="K400" s="177"/>
      <c r="L400" s="177"/>
      <c r="M400" s="177"/>
      <c r="N400" s="177"/>
      <c r="O400" s="177"/>
      <c r="P400" s="177"/>
      <c r="Q400" s="177"/>
      <c r="R400" s="177"/>
      <c r="S400" s="177"/>
      <c r="T400" s="177"/>
      <c r="U400" s="177"/>
      <c r="V400" s="177"/>
      <c r="W400" s="177"/>
      <c r="X400" s="177"/>
      <c r="Y400" s="177"/>
      <c r="Z400" s="177"/>
      <c r="AA400" s="177"/>
      <c r="AB400" s="177"/>
      <c r="AC400" s="177"/>
    </row>
    <row r="401">
      <c r="A401" s="177"/>
      <c r="B401" s="177"/>
      <c r="C401" s="177"/>
      <c r="D401" s="177"/>
      <c r="E401" s="177"/>
      <c r="F401" s="177"/>
      <c r="G401" s="177"/>
      <c r="H401" s="177"/>
      <c r="I401" s="177"/>
      <c r="J401" s="177"/>
      <c r="K401" s="177"/>
      <c r="L401" s="177"/>
      <c r="M401" s="177"/>
      <c r="N401" s="177"/>
      <c r="O401" s="177"/>
      <c r="P401" s="177"/>
      <c r="Q401" s="177"/>
      <c r="R401" s="177"/>
      <c r="S401" s="177"/>
      <c r="T401" s="177"/>
      <c r="U401" s="177"/>
      <c r="V401" s="177"/>
      <c r="W401" s="177"/>
      <c r="X401" s="177"/>
      <c r="Y401" s="177"/>
      <c r="Z401" s="177"/>
      <c r="AA401" s="177"/>
      <c r="AB401" s="177"/>
      <c r="AC401" s="177"/>
    </row>
    <row r="402">
      <c r="A402" s="177"/>
      <c r="B402" s="177"/>
      <c r="C402" s="177"/>
      <c r="D402" s="177"/>
      <c r="E402" s="177"/>
      <c r="F402" s="177"/>
      <c r="G402" s="177"/>
      <c r="H402" s="177"/>
      <c r="I402" s="177"/>
      <c r="J402" s="177"/>
      <c r="K402" s="177"/>
      <c r="L402" s="177"/>
      <c r="M402" s="177"/>
      <c r="N402" s="177"/>
      <c r="O402" s="177"/>
      <c r="P402" s="177"/>
      <c r="Q402" s="177"/>
      <c r="R402" s="177"/>
      <c r="S402" s="177"/>
      <c r="T402" s="177"/>
      <c r="U402" s="177"/>
      <c r="V402" s="177"/>
      <c r="W402" s="177"/>
      <c r="X402" s="177"/>
      <c r="Y402" s="177"/>
      <c r="Z402" s="177"/>
      <c r="AA402" s="177"/>
      <c r="AB402" s="177"/>
      <c r="AC402" s="177"/>
    </row>
    <row r="403">
      <c r="A403" s="177"/>
      <c r="B403" s="177"/>
      <c r="C403" s="177"/>
      <c r="D403" s="177"/>
      <c r="E403" s="177"/>
      <c r="F403" s="177"/>
      <c r="G403" s="177"/>
      <c r="H403" s="177"/>
      <c r="I403" s="177"/>
      <c r="J403" s="177"/>
      <c r="K403" s="177"/>
      <c r="L403" s="177"/>
      <c r="M403" s="177"/>
      <c r="N403" s="177"/>
      <c r="O403" s="177"/>
      <c r="P403" s="177"/>
      <c r="Q403" s="177"/>
      <c r="R403" s="177"/>
      <c r="S403" s="177"/>
      <c r="T403" s="177"/>
      <c r="U403" s="177"/>
      <c r="V403" s="177"/>
      <c r="W403" s="177"/>
      <c r="X403" s="177"/>
      <c r="Y403" s="177"/>
      <c r="Z403" s="177"/>
      <c r="AA403" s="177"/>
      <c r="AB403" s="177"/>
      <c r="AC403" s="177"/>
    </row>
    <row r="404">
      <c r="A404" s="177"/>
      <c r="B404" s="177"/>
      <c r="C404" s="177"/>
      <c r="D404" s="177"/>
      <c r="E404" s="177"/>
      <c r="F404" s="177"/>
      <c r="G404" s="177"/>
      <c r="H404" s="177"/>
      <c r="I404" s="177"/>
      <c r="J404" s="177"/>
      <c r="K404" s="177"/>
      <c r="L404" s="177"/>
      <c r="M404" s="177"/>
      <c r="N404" s="177"/>
      <c r="O404" s="177"/>
      <c r="P404" s="177"/>
      <c r="Q404" s="177"/>
      <c r="R404" s="177"/>
      <c r="S404" s="177"/>
      <c r="T404" s="177"/>
      <c r="U404" s="177"/>
      <c r="V404" s="177"/>
      <c r="W404" s="177"/>
      <c r="X404" s="177"/>
      <c r="Y404" s="177"/>
      <c r="Z404" s="177"/>
      <c r="AA404" s="177"/>
      <c r="AB404" s="177"/>
      <c r="AC404" s="177"/>
    </row>
    <row r="405">
      <c r="A405" s="177"/>
      <c r="B405" s="177"/>
      <c r="C405" s="177"/>
      <c r="D405" s="177"/>
      <c r="E405" s="177"/>
      <c r="F405" s="177"/>
      <c r="G405" s="177"/>
      <c r="H405" s="177"/>
      <c r="I405" s="177"/>
      <c r="J405" s="177"/>
      <c r="K405" s="177"/>
      <c r="L405" s="177"/>
      <c r="M405" s="177"/>
      <c r="N405" s="177"/>
      <c r="O405" s="177"/>
      <c r="P405" s="177"/>
      <c r="Q405" s="177"/>
      <c r="R405" s="177"/>
      <c r="S405" s="177"/>
      <c r="T405" s="177"/>
      <c r="U405" s="177"/>
      <c r="V405" s="177"/>
      <c r="W405" s="177"/>
      <c r="X405" s="177"/>
      <c r="Y405" s="177"/>
      <c r="Z405" s="177"/>
      <c r="AA405" s="177"/>
      <c r="AB405" s="177"/>
      <c r="AC405" s="177"/>
    </row>
    <row r="406">
      <c r="A406" s="177"/>
      <c r="B406" s="177"/>
      <c r="C406" s="177"/>
      <c r="D406" s="177"/>
      <c r="E406" s="177"/>
      <c r="F406" s="177"/>
      <c r="G406" s="177"/>
      <c r="H406" s="177"/>
      <c r="I406" s="177"/>
      <c r="J406" s="177"/>
      <c r="K406" s="177"/>
      <c r="L406" s="177"/>
      <c r="M406" s="177"/>
      <c r="N406" s="177"/>
      <c r="O406" s="177"/>
      <c r="P406" s="177"/>
      <c r="Q406" s="177"/>
      <c r="R406" s="177"/>
      <c r="S406" s="177"/>
      <c r="T406" s="177"/>
      <c r="U406" s="177"/>
      <c r="V406" s="177"/>
      <c r="W406" s="177"/>
      <c r="X406" s="177"/>
      <c r="Y406" s="177"/>
      <c r="Z406" s="177"/>
      <c r="AA406" s="177"/>
      <c r="AB406" s="177"/>
      <c r="AC406" s="177"/>
    </row>
    <row r="407">
      <c r="A407" s="177"/>
      <c r="B407" s="177"/>
      <c r="C407" s="177"/>
      <c r="D407" s="177"/>
      <c r="E407" s="177"/>
      <c r="F407" s="177"/>
      <c r="G407" s="177"/>
      <c r="H407" s="177"/>
      <c r="I407" s="177"/>
      <c r="J407" s="177"/>
      <c r="K407" s="177"/>
      <c r="L407" s="177"/>
      <c r="M407" s="177"/>
      <c r="N407" s="177"/>
      <c r="O407" s="177"/>
      <c r="P407" s="177"/>
      <c r="Q407" s="177"/>
      <c r="R407" s="177"/>
      <c r="S407" s="177"/>
      <c r="T407" s="177"/>
      <c r="U407" s="177"/>
      <c r="V407" s="177"/>
      <c r="W407" s="177"/>
      <c r="X407" s="177"/>
      <c r="Y407" s="177"/>
      <c r="Z407" s="177"/>
      <c r="AA407" s="177"/>
      <c r="AB407" s="177"/>
      <c r="AC407" s="177"/>
    </row>
    <row r="408">
      <c r="A408" s="177"/>
      <c r="B408" s="177"/>
      <c r="C408" s="177"/>
      <c r="D408" s="177"/>
      <c r="E408" s="177"/>
      <c r="F408" s="177"/>
      <c r="G408" s="177"/>
      <c r="H408" s="177"/>
      <c r="I408" s="177"/>
      <c r="J408" s="177"/>
      <c r="K408" s="177"/>
      <c r="L408" s="177"/>
      <c r="M408" s="177"/>
      <c r="N408" s="177"/>
      <c r="O408" s="177"/>
      <c r="P408" s="177"/>
      <c r="Q408" s="177"/>
      <c r="R408" s="177"/>
      <c r="S408" s="177"/>
      <c r="T408" s="177"/>
      <c r="U408" s="177"/>
      <c r="V408" s="177"/>
      <c r="W408" s="177"/>
      <c r="X408" s="177"/>
      <c r="Y408" s="177"/>
      <c r="Z408" s="177"/>
      <c r="AA408" s="177"/>
      <c r="AB408" s="177"/>
      <c r="AC408" s="177"/>
    </row>
    <row r="409">
      <c r="A409" s="177"/>
      <c r="B409" s="177"/>
      <c r="C409" s="177"/>
      <c r="D409" s="177"/>
      <c r="E409" s="177"/>
      <c r="F409" s="177"/>
      <c r="G409" s="177"/>
      <c r="H409" s="177"/>
      <c r="I409" s="177"/>
      <c r="J409" s="177"/>
      <c r="K409" s="177"/>
      <c r="L409" s="177"/>
      <c r="M409" s="177"/>
      <c r="N409" s="177"/>
      <c r="O409" s="177"/>
      <c r="P409" s="177"/>
      <c r="Q409" s="177"/>
      <c r="R409" s="177"/>
      <c r="S409" s="177"/>
      <c r="T409" s="177"/>
      <c r="U409" s="177"/>
      <c r="V409" s="177"/>
      <c r="W409" s="177"/>
      <c r="X409" s="177"/>
      <c r="Y409" s="177"/>
      <c r="Z409" s="177"/>
      <c r="AA409" s="177"/>
      <c r="AB409" s="177"/>
      <c r="AC409" s="177"/>
    </row>
    <row r="410">
      <c r="A410" s="177"/>
      <c r="B410" s="177"/>
      <c r="C410" s="177"/>
      <c r="D410" s="177"/>
      <c r="E410" s="177"/>
      <c r="F410" s="177"/>
      <c r="G410" s="177"/>
      <c r="H410" s="177"/>
      <c r="I410" s="177"/>
      <c r="J410" s="177"/>
      <c r="K410" s="177"/>
      <c r="L410" s="177"/>
      <c r="M410" s="177"/>
      <c r="N410" s="177"/>
      <c r="O410" s="177"/>
      <c r="P410" s="177"/>
      <c r="Q410" s="177"/>
      <c r="R410" s="177"/>
      <c r="S410" s="177"/>
      <c r="T410" s="177"/>
      <c r="U410" s="177"/>
      <c r="V410" s="177"/>
      <c r="W410" s="177"/>
      <c r="X410" s="177"/>
      <c r="Y410" s="177"/>
      <c r="Z410" s="177"/>
      <c r="AA410" s="177"/>
      <c r="AB410" s="177"/>
      <c r="AC410" s="177"/>
    </row>
    <row r="411">
      <c r="A411" s="177"/>
      <c r="B411" s="177"/>
      <c r="C411" s="177"/>
      <c r="D411" s="177"/>
      <c r="E411" s="177"/>
      <c r="F411" s="177"/>
      <c r="G411" s="177"/>
      <c r="H411" s="177"/>
      <c r="I411" s="177"/>
      <c r="J411" s="177"/>
      <c r="K411" s="177"/>
      <c r="L411" s="177"/>
      <c r="M411" s="177"/>
      <c r="N411" s="177"/>
      <c r="O411" s="177"/>
      <c r="P411" s="177"/>
      <c r="Q411" s="177"/>
      <c r="R411" s="177"/>
      <c r="S411" s="177"/>
      <c r="T411" s="177"/>
      <c r="U411" s="177"/>
      <c r="V411" s="177"/>
      <c r="W411" s="177"/>
      <c r="X411" s="177"/>
      <c r="Y411" s="177"/>
      <c r="Z411" s="177"/>
      <c r="AA411" s="177"/>
      <c r="AB411" s="177"/>
      <c r="AC411" s="177"/>
    </row>
    <row r="412">
      <c r="A412" s="177"/>
      <c r="B412" s="177"/>
      <c r="C412" s="177"/>
      <c r="D412" s="177"/>
      <c r="E412" s="177"/>
      <c r="F412" s="177"/>
      <c r="G412" s="177"/>
      <c r="H412" s="177"/>
      <c r="I412" s="177"/>
      <c r="J412" s="177"/>
      <c r="K412" s="177"/>
      <c r="L412" s="177"/>
      <c r="M412" s="177"/>
      <c r="N412" s="177"/>
      <c r="O412" s="177"/>
      <c r="P412" s="177"/>
      <c r="Q412" s="177"/>
      <c r="R412" s="177"/>
      <c r="S412" s="177"/>
      <c r="T412" s="177"/>
      <c r="U412" s="177"/>
      <c r="V412" s="177"/>
      <c r="W412" s="177"/>
      <c r="X412" s="177"/>
      <c r="Y412" s="177"/>
      <c r="Z412" s="177"/>
      <c r="AA412" s="177"/>
      <c r="AB412" s="177"/>
      <c r="AC412" s="177"/>
    </row>
    <row r="413">
      <c r="A413" s="177"/>
      <c r="B413" s="177"/>
      <c r="C413" s="177"/>
      <c r="D413" s="177"/>
      <c r="E413" s="177"/>
      <c r="F413" s="177"/>
      <c r="G413" s="177"/>
      <c r="H413" s="177"/>
      <c r="I413" s="177"/>
      <c r="J413" s="177"/>
      <c r="K413" s="177"/>
      <c r="L413" s="177"/>
      <c r="M413" s="177"/>
      <c r="N413" s="177"/>
      <c r="O413" s="177"/>
      <c r="P413" s="177"/>
      <c r="Q413" s="177"/>
      <c r="R413" s="177"/>
      <c r="S413" s="177"/>
      <c r="T413" s="177"/>
      <c r="U413" s="177"/>
      <c r="V413" s="177"/>
      <c r="W413" s="177"/>
      <c r="X413" s="177"/>
      <c r="Y413" s="177"/>
      <c r="Z413" s="177"/>
      <c r="AA413" s="177"/>
      <c r="AB413" s="177"/>
      <c r="AC413" s="177"/>
    </row>
    <row r="414">
      <c r="A414" s="177"/>
      <c r="B414" s="177"/>
      <c r="C414" s="177"/>
      <c r="D414" s="177"/>
      <c r="E414" s="177"/>
      <c r="F414" s="177"/>
      <c r="G414" s="177"/>
      <c r="H414" s="177"/>
      <c r="I414" s="177"/>
      <c r="J414" s="177"/>
      <c r="K414" s="177"/>
      <c r="L414" s="177"/>
      <c r="M414" s="177"/>
      <c r="N414" s="177"/>
      <c r="O414" s="177"/>
      <c r="P414" s="177"/>
      <c r="Q414" s="177"/>
      <c r="R414" s="177"/>
      <c r="S414" s="177"/>
      <c r="T414" s="177"/>
      <c r="U414" s="177"/>
      <c r="V414" s="177"/>
      <c r="W414" s="177"/>
      <c r="X414" s="177"/>
      <c r="Y414" s="177"/>
      <c r="Z414" s="177"/>
      <c r="AA414" s="177"/>
      <c r="AB414" s="177"/>
      <c r="AC414" s="177"/>
    </row>
    <row r="415">
      <c r="A415" s="177"/>
      <c r="B415" s="177"/>
      <c r="C415" s="177"/>
      <c r="D415" s="177"/>
      <c r="E415" s="177"/>
      <c r="F415" s="177"/>
      <c r="G415" s="177"/>
      <c r="H415" s="177"/>
      <c r="I415" s="177"/>
      <c r="J415" s="177"/>
      <c r="K415" s="177"/>
      <c r="L415" s="177"/>
      <c r="M415" s="177"/>
      <c r="N415" s="177"/>
      <c r="O415" s="177"/>
      <c r="P415" s="177"/>
      <c r="Q415" s="177"/>
      <c r="R415" s="177"/>
      <c r="S415" s="177"/>
      <c r="T415" s="177"/>
      <c r="U415" s="177"/>
      <c r="V415" s="177"/>
      <c r="W415" s="177"/>
      <c r="X415" s="177"/>
      <c r="Y415" s="177"/>
      <c r="Z415" s="177"/>
      <c r="AA415" s="177"/>
      <c r="AB415" s="177"/>
      <c r="AC415" s="177"/>
    </row>
    <row r="416">
      <c r="A416" s="177"/>
      <c r="B416" s="177"/>
      <c r="C416" s="177"/>
      <c r="D416" s="177"/>
      <c r="E416" s="177"/>
      <c r="F416" s="177"/>
      <c r="G416" s="177"/>
      <c r="H416" s="177"/>
      <c r="I416" s="177"/>
      <c r="J416" s="177"/>
      <c r="K416" s="177"/>
      <c r="L416" s="177"/>
      <c r="M416" s="177"/>
      <c r="N416" s="177"/>
      <c r="O416" s="177"/>
      <c r="P416" s="177"/>
      <c r="Q416" s="177"/>
      <c r="R416" s="177"/>
      <c r="S416" s="177"/>
      <c r="T416" s="177"/>
      <c r="U416" s="177"/>
      <c r="V416" s="177"/>
      <c r="W416" s="177"/>
      <c r="X416" s="177"/>
      <c r="Y416" s="177"/>
      <c r="Z416" s="177"/>
      <c r="AA416" s="177"/>
      <c r="AB416" s="177"/>
      <c r="AC416" s="177"/>
    </row>
    <row r="417">
      <c r="A417" s="177"/>
      <c r="B417" s="177"/>
      <c r="C417" s="177"/>
      <c r="D417" s="177"/>
      <c r="E417" s="177"/>
      <c r="F417" s="177"/>
      <c r="G417" s="177"/>
      <c r="H417" s="177"/>
      <c r="I417" s="177"/>
      <c r="J417" s="177"/>
      <c r="K417" s="177"/>
      <c r="L417" s="177"/>
      <c r="M417" s="177"/>
      <c r="N417" s="177"/>
      <c r="O417" s="177"/>
      <c r="P417" s="177"/>
      <c r="Q417" s="177"/>
      <c r="R417" s="177"/>
      <c r="S417" s="177"/>
      <c r="T417" s="177"/>
      <c r="U417" s="177"/>
      <c r="V417" s="177"/>
      <c r="W417" s="177"/>
      <c r="X417" s="177"/>
      <c r="Y417" s="177"/>
      <c r="Z417" s="177"/>
      <c r="AA417" s="177"/>
      <c r="AB417" s="177"/>
      <c r="AC417" s="177"/>
    </row>
    <row r="418">
      <c r="A418" s="177"/>
      <c r="B418" s="177"/>
      <c r="C418" s="177"/>
      <c r="D418" s="177"/>
      <c r="E418" s="177"/>
      <c r="F418" s="177"/>
      <c r="G418" s="177"/>
      <c r="H418" s="177"/>
      <c r="I418" s="177"/>
      <c r="J418" s="177"/>
      <c r="K418" s="177"/>
      <c r="L418" s="177"/>
      <c r="M418" s="177"/>
      <c r="N418" s="177"/>
      <c r="O418" s="177"/>
      <c r="P418" s="177"/>
      <c r="Q418" s="177"/>
      <c r="R418" s="177"/>
      <c r="S418" s="177"/>
      <c r="T418" s="177"/>
      <c r="U418" s="177"/>
      <c r="V418" s="177"/>
      <c r="W418" s="177"/>
      <c r="X418" s="177"/>
      <c r="Y418" s="177"/>
      <c r="Z418" s="177"/>
      <c r="AA418" s="177"/>
      <c r="AB418" s="177"/>
      <c r="AC418" s="177"/>
    </row>
    <row r="419">
      <c r="A419" s="177"/>
      <c r="B419" s="177"/>
      <c r="C419" s="177"/>
      <c r="D419" s="177"/>
      <c r="E419" s="177"/>
      <c r="F419" s="177"/>
      <c r="G419" s="177"/>
      <c r="H419" s="177"/>
      <c r="I419" s="177"/>
      <c r="J419" s="177"/>
      <c r="K419" s="177"/>
      <c r="L419" s="177"/>
      <c r="M419" s="177"/>
      <c r="N419" s="177"/>
      <c r="O419" s="177"/>
      <c r="P419" s="177"/>
      <c r="Q419" s="177"/>
      <c r="R419" s="177"/>
      <c r="S419" s="177"/>
      <c r="T419" s="177"/>
      <c r="U419" s="177"/>
      <c r="V419" s="177"/>
      <c r="W419" s="177"/>
      <c r="X419" s="177"/>
      <c r="Y419" s="177"/>
      <c r="Z419" s="177"/>
      <c r="AA419" s="177"/>
      <c r="AB419" s="177"/>
      <c r="AC419" s="177"/>
    </row>
    <row r="420">
      <c r="A420" s="177"/>
      <c r="B420" s="177"/>
      <c r="C420" s="177"/>
      <c r="D420" s="177"/>
      <c r="E420" s="177"/>
      <c r="F420" s="177"/>
      <c r="G420" s="177"/>
      <c r="H420" s="177"/>
      <c r="I420" s="177"/>
      <c r="J420" s="177"/>
      <c r="K420" s="177"/>
      <c r="L420" s="177"/>
      <c r="M420" s="177"/>
      <c r="N420" s="177"/>
      <c r="O420" s="177"/>
      <c r="P420" s="177"/>
      <c r="Q420" s="177"/>
      <c r="R420" s="177"/>
      <c r="S420" s="177"/>
      <c r="T420" s="177"/>
      <c r="U420" s="177"/>
      <c r="V420" s="177"/>
      <c r="W420" s="177"/>
      <c r="X420" s="177"/>
      <c r="Y420" s="177"/>
      <c r="Z420" s="177"/>
      <c r="AA420" s="177"/>
      <c r="AB420" s="177"/>
      <c r="AC420" s="177"/>
    </row>
    <row r="421">
      <c r="A421" s="177"/>
      <c r="B421" s="177"/>
      <c r="C421" s="177"/>
      <c r="D421" s="177"/>
      <c r="E421" s="177"/>
      <c r="F421" s="177"/>
      <c r="G421" s="177"/>
      <c r="H421" s="177"/>
      <c r="I421" s="177"/>
      <c r="J421" s="177"/>
      <c r="K421" s="177"/>
      <c r="L421" s="177"/>
      <c r="M421" s="177"/>
      <c r="N421" s="177"/>
      <c r="O421" s="177"/>
      <c r="P421" s="177"/>
      <c r="Q421" s="177"/>
      <c r="R421" s="177"/>
      <c r="S421" s="177"/>
      <c r="T421" s="177"/>
      <c r="U421" s="177"/>
      <c r="V421" s="177"/>
      <c r="W421" s="177"/>
      <c r="X421" s="177"/>
      <c r="Y421" s="177"/>
      <c r="Z421" s="177"/>
      <c r="AA421" s="177"/>
      <c r="AB421" s="177"/>
      <c r="AC421" s="177"/>
    </row>
    <row r="422">
      <c r="A422" s="177"/>
      <c r="B422" s="177"/>
      <c r="C422" s="177"/>
      <c r="D422" s="177"/>
      <c r="E422" s="177"/>
      <c r="F422" s="177"/>
      <c r="G422" s="177"/>
      <c r="H422" s="177"/>
      <c r="I422" s="177"/>
      <c r="J422" s="177"/>
      <c r="K422" s="177"/>
      <c r="L422" s="177"/>
      <c r="M422" s="177"/>
      <c r="N422" s="177"/>
      <c r="O422" s="177"/>
      <c r="P422" s="177"/>
      <c r="Q422" s="177"/>
      <c r="R422" s="177"/>
      <c r="S422" s="177"/>
      <c r="T422" s="177"/>
      <c r="U422" s="177"/>
      <c r="V422" s="177"/>
      <c r="W422" s="177"/>
      <c r="X422" s="177"/>
      <c r="Y422" s="177"/>
      <c r="Z422" s="177"/>
      <c r="AA422" s="177"/>
      <c r="AB422" s="177"/>
      <c r="AC422" s="177"/>
    </row>
    <row r="423">
      <c r="A423" s="177"/>
      <c r="B423" s="177"/>
      <c r="C423" s="177"/>
      <c r="D423" s="177"/>
      <c r="E423" s="177"/>
      <c r="F423" s="177"/>
      <c r="G423" s="177"/>
      <c r="H423" s="177"/>
      <c r="I423" s="177"/>
      <c r="J423" s="177"/>
      <c r="K423" s="177"/>
      <c r="L423" s="177"/>
      <c r="M423" s="177"/>
      <c r="N423" s="177"/>
      <c r="O423" s="177"/>
      <c r="P423" s="177"/>
      <c r="Q423" s="177"/>
      <c r="R423" s="177"/>
      <c r="S423" s="177"/>
      <c r="T423" s="177"/>
      <c r="U423" s="177"/>
      <c r="V423" s="177"/>
      <c r="W423" s="177"/>
      <c r="X423" s="177"/>
      <c r="Y423" s="177"/>
      <c r="Z423" s="177"/>
      <c r="AA423" s="177"/>
      <c r="AB423" s="177"/>
      <c r="AC423" s="177"/>
    </row>
    <row r="424">
      <c r="A424" s="177"/>
      <c r="B424" s="177"/>
      <c r="C424" s="177"/>
      <c r="D424" s="177"/>
      <c r="E424" s="177"/>
      <c r="F424" s="177"/>
      <c r="G424" s="177"/>
      <c r="H424" s="177"/>
      <c r="I424" s="177"/>
      <c r="J424" s="177"/>
      <c r="K424" s="177"/>
      <c r="L424" s="177"/>
      <c r="M424" s="177"/>
      <c r="N424" s="177"/>
      <c r="O424" s="177"/>
      <c r="P424" s="177"/>
      <c r="Q424" s="177"/>
      <c r="R424" s="177"/>
      <c r="S424" s="177"/>
      <c r="T424" s="177"/>
      <c r="U424" s="177"/>
      <c r="V424" s="177"/>
      <c r="W424" s="177"/>
      <c r="X424" s="177"/>
      <c r="Y424" s="177"/>
      <c r="Z424" s="177"/>
      <c r="AA424" s="177"/>
      <c r="AB424" s="177"/>
      <c r="AC424" s="177"/>
    </row>
    <row r="425">
      <c r="A425" s="177"/>
      <c r="B425" s="177"/>
      <c r="C425" s="177"/>
      <c r="D425" s="177"/>
      <c r="E425" s="177"/>
      <c r="F425" s="177"/>
      <c r="G425" s="177"/>
      <c r="H425" s="177"/>
      <c r="I425" s="177"/>
      <c r="J425" s="177"/>
      <c r="K425" s="177"/>
      <c r="L425" s="177"/>
      <c r="M425" s="177"/>
      <c r="N425" s="177"/>
      <c r="O425" s="177"/>
      <c r="P425" s="177"/>
      <c r="Q425" s="177"/>
      <c r="R425" s="177"/>
      <c r="S425" s="177"/>
      <c r="T425" s="177"/>
      <c r="U425" s="177"/>
      <c r="V425" s="177"/>
      <c r="W425" s="177"/>
      <c r="X425" s="177"/>
      <c r="Y425" s="177"/>
      <c r="Z425" s="177"/>
      <c r="AA425" s="177"/>
      <c r="AB425" s="177"/>
      <c r="AC425" s="177"/>
    </row>
    <row r="426">
      <c r="A426" s="177"/>
      <c r="B426" s="177"/>
      <c r="C426" s="177"/>
      <c r="D426" s="177"/>
      <c r="E426" s="177"/>
      <c r="F426" s="177"/>
      <c r="G426" s="177"/>
      <c r="H426" s="177"/>
      <c r="I426" s="177"/>
      <c r="J426" s="177"/>
      <c r="K426" s="177"/>
      <c r="L426" s="177"/>
      <c r="M426" s="177"/>
      <c r="N426" s="177"/>
      <c r="O426" s="177"/>
      <c r="P426" s="177"/>
      <c r="Q426" s="177"/>
      <c r="R426" s="177"/>
      <c r="S426" s="177"/>
      <c r="T426" s="177"/>
      <c r="U426" s="177"/>
      <c r="V426" s="177"/>
      <c r="W426" s="177"/>
      <c r="X426" s="177"/>
      <c r="Y426" s="177"/>
      <c r="Z426" s="177"/>
      <c r="AA426" s="177"/>
      <c r="AB426" s="177"/>
      <c r="AC426" s="177"/>
    </row>
    <row r="427">
      <c r="A427" s="177"/>
      <c r="B427" s="177"/>
      <c r="C427" s="177"/>
      <c r="D427" s="177"/>
      <c r="E427" s="177"/>
      <c r="F427" s="177"/>
      <c r="G427" s="177"/>
      <c r="H427" s="177"/>
      <c r="I427" s="177"/>
      <c r="J427" s="177"/>
      <c r="K427" s="177"/>
      <c r="L427" s="177"/>
      <c r="M427" s="177"/>
      <c r="N427" s="177"/>
      <c r="O427" s="177"/>
      <c r="P427" s="177"/>
      <c r="Q427" s="177"/>
      <c r="R427" s="177"/>
      <c r="S427" s="177"/>
      <c r="T427" s="177"/>
      <c r="U427" s="177"/>
      <c r="V427" s="177"/>
      <c r="W427" s="177"/>
      <c r="X427" s="177"/>
      <c r="Y427" s="177"/>
      <c r="Z427" s="177"/>
      <c r="AA427" s="177"/>
      <c r="AB427" s="177"/>
      <c r="AC427" s="177"/>
    </row>
    <row r="428">
      <c r="A428" s="177"/>
      <c r="B428" s="177"/>
      <c r="C428" s="177"/>
      <c r="D428" s="177"/>
      <c r="E428" s="177"/>
      <c r="F428" s="177"/>
      <c r="G428" s="177"/>
      <c r="H428" s="177"/>
      <c r="I428" s="177"/>
      <c r="J428" s="177"/>
      <c r="K428" s="177"/>
      <c r="L428" s="177"/>
      <c r="M428" s="177"/>
      <c r="N428" s="177"/>
      <c r="O428" s="177"/>
      <c r="P428" s="177"/>
      <c r="Q428" s="177"/>
      <c r="R428" s="177"/>
      <c r="S428" s="177"/>
      <c r="T428" s="177"/>
      <c r="U428" s="177"/>
      <c r="V428" s="177"/>
      <c r="W428" s="177"/>
      <c r="X428" s="177"/>
      <c r="Y428" s="177"/>
      <c r="Z428" s="177"/>
      <c r="AA428" s="177"/>
      <c r="AB428" s="177"/>
      <c r="AC428" s="177"/>
    </row>
    <row r="429">
      <c r="A429" s="177"/>
      <c r="B429" s="177"/>
      <c r="C429" s="177"/>
      <c r="D429" s="177"/>
      <c r="E429" s="177"/>
      <c r="F429" s="177"/>
      <c r="G429" s="177"/>
      <c r="H429" s="177"/>
      <c r="I429" s="177"/>
      <c r="J429" s="177"/>
      <c r="K429" s="177"/>
      <c r="L429" s="177"/>
      <c r="M429" s="177"/>
      <c r="N429" s="177"/>
      <c r="O429" s="177"/>
      <c r="P429" s="177"/>
      <c r="Q429" s="177"/>
      <c r="R429" s="177"/>
      <c r="S429" s="177"/>
      <c r="T429" s="177"/>
      <c r="U429" s="177"/>
      <c r="V429" s="177"/>
      <c r="W429" s="177"/>
      <c r="X429" s="177"/>
      <c r="Y429" s="177"/>
      <c r="Z429" s="177"/>
      <c r="AA429" s="177"/>
      <c r="AB429" s="177"/>
      <c r="AC429" s="177"/>
    </row>
    <row r="430">
      <c r="A430" s="177"/>
      <c r="B430" s="177"/>
      <c r="C430" s="177"/>
      <c r="D430" s="177"/>
      <c r="E430" s="177"/>
      <c r="F430" s="177"/>
      <c r="G430" s="177"/>
      <c r="H430" s="177"/>
      <c r="I430" s="177"/>
      <c r="J430" s="177"/>
      <c r="K430" s="177"/>
      <c r="L430" s="177"/>
      <c r="M430" s="177"/>
      <c r="N430" s="177"/>
      <c r="O430" s="177"/>
      <c r="P430" s="177"/>
      <c r="Q430" s="177"/>
      <c r="R430" s="177"/>
      <c r="S430" s="177"/>
      <c r="T430" s="177"/>
      <c r="U430" s="177"/>
      <c r="V430" s="177"/>
      <c r="W430" s="177"/>
      <c r="X430" s="177"/>
      <c r="Y430" s="177"/>
      <c r="Z430" s="177"/>
      <c r="AA430" s="177"/>
      <c r="AB430" s="177"/>
      <c r="AC430" s="177"/>
    </row>
    <row r="431">
      <c r="A431" s="177"/>
      <c r="B431" s="177"/>
      <c r="C431" s="177"/>
      <c r="D431" s="177"/>
      <c r="E431" s="177"/>
      <c r="F431" s="177"/>
      <c r="G431" s="177"/>
      <c r="H431" s="177"/>
      <c r="I431" s="177"/>
      <c r="J431" s="177"/>
      <c r="K431" s="177"/>
      <c r="L431" s="177"/>
      <c r="M431" s="177"/>
      <c r="N431" s="177"/>
      <c r="O431" s="177"/>
      <c r="P431" s="177"/>
      <c r="Q431" s="177"/>
      <c r="R431" s="177"/>
      <c r="S431" s="177"/>
      <c r="T431" s="177"/>
      <c r="U431" s="177"/>
      <c r="V431" s="177"/>
      <c r="W431" s="177"/>
      <c r="X431" s="177"/>
      <c r="Y431" s="177"/>
      <c r="Z431" s="177"/>
      <c r="AA431" s="177"/>
      <c r="AB431" s="177"/>
      <c r="AC431" s="177"/>
    </row>
    <row r="432">
      <c r="A432" s="177"/>
      <c r="B432" s="177"/>
      <c r="C432" s="177"/>
      <c r="D432" s="177"/>
      <c r="E432" s="177"/>
      <c r="F432" s="177"/>
      <c r="G432" s="177"/>
      <c r="H432" s="177"/>
      <c r="I432" s="177"/>
      <c r="J432" s="177"/>
      <c r="K432" s="177"/>
      <c r="L432" s="177"/>
      <c r="M432" s="177"/>
      <c r="N432" s="177"/>
      <c r="O432" s="177"/>
      <c r="P432" s="177"/>
      <c r="Q432" s="177"/>
      <c r="R432" s="177"/>
      <c r="S432" s="177"/>
      <c r="T432" s="177"/>
      <c r="U432" s="177"/>
      <c r="V432" s="177"/>
      <c r="W432" s="177"/>
      <c r="X432" s="177"/>
      <c r="Y432" s="177"/>
      <c r="Z432" s="177"/>
      <c r="AA432" s="177"/>
      <c r="AB432" s="177"/>
      <c r="AC432" s="177"/>
    </row>
    <row r="433">
      <c r="A433" s="177"/>
      <c r="B433" s="177"/>
      <c r="C433" s="177"/>
      <c r="D433" s="177"/>
      <c r="E433" s="177"/>
      <c r="F433" s="177"/>
      <c r="G433" s="177"/>
      <c r="H433" s="177"/>
      <c r="I433" s="177"/>
      <c r="J433" s="177"/>
      <c r="K433" s="177"/>
      <c r="L433" s="177"/>
      <c r="M433" s="177"/>
      <c r="N433" s="177"/>
      <c r="O433" s="177"/>
      <c r="P433" s="177"/>
      <c r="Q433" s="177"/>
      <c r="R433" s="177"/>
      <c r="S433" s="177"/>
      <c r="T433" s="177"/>
      <c r="U433" s="177"/>
      <c r="V433" s="177"/>
      <c r="W433" s="177"/>
      <c r="X433" s="177"/>
      <c r="Y433" s="177"/>
      <c r="Z433" s="177"/>
      <c r="AA433" s="177"/>
      <c r="AB433" s="177"/>
      <c r="AC433" s="177"/>
    </row>
    <row r="434">
      <c r="A434" s="177"/>
      <c r="B434" s="177"/>
      <c r="C434" s="177"/>
      <c r="D434" s="177"/>
      <c r="E434" s="177"/>
      <c r="F434" s="177"/>
      <c r="G434" s="177"/>
      <c r="H434" s="177"/>
      <c r="I434" s="177"/>
      <c r="J434" s="177"/>
      <c r="K434" s="177"/>
      <c r="L434" s="177"/>
      <c r="M434" s="177"/>
      <c r="N434" s="177"/>
      <c r="O434" s="177"/>
      <c r="P434" s="177"/>
      <c r="Q434" s="177"/>
      <c r="R434" s="177"/>
      <c r="S434" s="177"/>
      <c r="T434" s="177"/>
      <c r="U434" s="177"/>
      <c r="V434" s="177"/>
      <c r="W434" s="177"/>
      <c r="X434" s="177"/>
      <c r="Y434" s="177"/>
      <c r="Z434" s="177"/>
      <c r="AA434" s="177"/>
      <c r="AB434" s="177"/>
      <c r="AC434" s="177"/>
    </row>
    <row r="435">
      <c r="A435" s="177"/>
      <c r="B435" s="177"/>
      <c r="C435" s="177"/>
      <c r="D435" s="177"/>
      <c r="E435" s="177"/>
      <c r="F435" s="177"/>
      <c r="G435" s="177"/>
      <c r="H435" s="177"/>
      <c r="I435" s="177"/>
      <c r="J435" s="177"/>
      <c r="K435" s="177"/>
      <c r="L435" s="177"/>
      <c r="M435" s="177"/>
      <c r="N435" s="177"/>
      <c r="O435" s="177"/>
      <c r="P435" s="177"/>
      <c r="Q435" s="177"/>
      <c r="R435" s="177"/>
      <c r="S435" s="177"/>
      <c r="T435" s="177"/>
      <c r="U435" s="177"/>
      <c r="V435" s="177"/>
      <c r="W435" s="177"/>
      <c r="X435" s="177"/>
      <c r="Y435" s="177"/>
      <c r="Z435" s="177"/>
      <c r="AA435" s="177"/>
      <c r="AB435" s="177"/>
      <c r="AC435" s="177"/>
    </row>
    <row r="436">
      <c r="A436" s="177"/>
      <c r="B436" s="177"/>
      <c r="C436" s="177"/>
      <c r="D436" s="177"/>
      <c r="E436" s="177"/>
      <c r="F436" s="177"/>
      <c r="G436" s="177"/>
      <c r="H436" s="177"/>
      <c r="I436" s="177"/>
      <c r="J436" s="177"/>
      <c r="K436" s="177"/>
      <c r="L436" s="177"/>
      <c r="M436" s="177"/>
      <c r="N436" s="177"/>
      <c r="O436" s="177"/>
      <c r="P436" s="177"/>
      <c r="Q436" s="177"/>
      <c r="R436" s="177"/>
      <c r="S436" s="177"/>
      <c r="T436" s="177"/>
      <c r="U436" s="177"/>
      <c r="V436" s="177"/>
      <c r="W436" s="177"/>
      <c r="X436" s="177"/>
      <c r="Y436" s="177"/>
      <c r="Z436" s="177"/>
      <c r="AA436" s="177"/>
      <c r="AB436" s="177"/>
      <c r="AC436" s="177"/>
    </row>
    <row r="437">
      <c r="A437" s="177"/>
      <c r="B437" s="177"/>
      <c r="C437" s="177"/>
      <c r="D437" s="177"/>
      <c r="E437" s="177"/>
      <c r="F437" s="177"/>
      <c r="G437" s="177"/>
      <c r="H437" s="177"/>
      <c r="I437" s="177"/>
      <c r="J437" s="177"/>
      <c r="K437" s="177"/>
      <c r="L437" s="177"/>
      <c r="M437" s="177"/>
      <c r="N437" s="177"/>
      <c r="O437" s="177"/>
      <c r="P437" s="177"/>
      <c r="Q437" s="177"/>
      <c r="R437" s="177"/>
      <c r="S437" s="177"/>
      <c r="T437" s="177"/>
      <c r="U437" s="177"/>
      <c r="V437" s="177"/>
      <c r="W437" s="177"/>
      <c r="X437" s="177"/>
      <c r="Y437" s="177"/>
      <c r="Z437" s="177"/>
      <c r="AA437" s="177"/>
      <c r="AB437" s="177"/>
      <c r="AC437" s="177"/>
    </row>
    <row r="438">
      <c r="A438" s="177"/>
      <c r="B438" s="177"/>
      <c r="C438" s="177"/>
      <c r="D438" s="177"/>
      <c r="E438" s="177"/>
      <c r="F438" s="177"/>
      <c r="G438" s="177"/>
      <c r="H438" s="177"/>
      <c r="I438" s="177"/>
      <c r="J438" s="177"/>
      <c r="K438" s="177"/>
      <c r="L438" s="177"/>
      <c r="M438" s="177"/>
      <c r="N438" s="177"/>
      <c r="O438" s="177"/>
      <c r="P438" s="177"/>
      <c r="Q438" s="177"/>
      <c r="R438" s="177"/>
      <c r="S438" s="177"/>
      <c r="T438" s="177"/>
      <c r="U438" s="177"/>
      <c r="V438" s="177"/>
      <c r="W438" s="177"/>
      <c r="X438" s="177"/>
      <c r="Y438" s="177"/>
      <c r="Z438" s="177"/>
      <c r="AA438" s="177"/>
      <c r="AB438" s="177"/>
      <c r="AC438" s="177"/>
    </row>
    <row r="439">
      <c r="A439" s="177"/>
      <c r="B439" s="177"/>
      <c r="C439" s="177"/>
      <c r="D439" s="177"/>
      <c r="E439" s="177"/>
      <c r="F439" s="177"/>
      <c r="G439" s="177"/>
      <c r="H439" s="177"/>
      <c r="I439" s="177"/>
      <c r="J439" s="177"/>
      <c r="K439" s="177"/>
      <c r="L439" s="177"/>
      <c r="M439" s="177"/>
      <c r="N439" s="177"/>
      <c r="O439" s="177"/>
      <c r="P439" s="177"/>
      <c r="Q439" s="177"/>
      <c r="R439" s="177"/>
      <c r="S439" s="177"/>
      <c r="T439" s="177"/>
      <c r="U439" s="177"/>
      <c r="V439" s="177"/>
      <c r="W439" s="177"/>
      <c r="X439" s="177"/>
      <c r="Y439" s="177"/>
      <c r="Z439" s="177"/>
      <c r="AA439" s="177"/>
      <c r="AB439" s="177"/>
      <c r="AC439" s="177"/>
    </row>
    <row r="440">
      <c r="A440" s="177"/>
      <c r="B440" s="177"/>
      <c r="C440" s="177"/>
      <c r="D440" s="177"/>
      <c r="E440" s="177"/>
      <c r="F440" s="177"/>
      <c r="G440" s="177"/>
      <c r="H440" s="177"/>
      <c r="I440" s="177"/>
      <c r="J440" s="177"/>
      <c r="K440" s="177"/>
      <c r="L440" s="177"/>
      <c r="M440" s="177"/>
      <c r="N440" s="177"/>
      <c r="O440" s="177"/>
      <c r="P440" s="177"/>
      <c r="Q440" s="177"/>
      <c r="R440" s="177"/>
      <c r="S440" s="177"/>
      <c r="T440" s="177"/>
      <c r="U440" s="177"/>
      <c r="V440" s="177"/>
      <c r="W440" s="177"/>
      <c r="X440" s="177"/>
      <c r="Y440" s="177"/>
      <c r="Z440" s="177"/>
      <c r="AA440" s="177"/>
      <c r="AB440" s="177"/>
      <c r="AC440" s="177"/>
    </row>
    <row r="441">
      <c r="A441" s="177"/>
      <c r="B441" s="177"/>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c r="AB441" s="177"/>
      <c r="AC441" s="177"/>
    </row>
    <row r="442">
      <c r="A442" s="177"/>
      <c r="B442" s="177"/>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c r="AB442" s="177"/>
      <c r="AC442" s="177"/>
    </row>
    <row r="443">
      <c r="A443" s="177"/>
      <c r="B443" s="177"/>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c r="AB443" s="177"/>
      <c r="AC443" s="177"/>
    </row>
    <row r="444">
      <c r="A444" s="177"/>
      <c r="B444" s="177"/>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c r="AB444" s="177"/>
      <c r="AC444" s="177"/>
    </row>
    <row r="445">
      <c r="A445" s="177"/>
      <c r="B445" s="177"/>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c r="AB445" s="177"/>
      <c r="AC445" s="177"/>
    </row>
    <row r="446">
      <c r="A446" s="177"/>
      <c r="B446" s="177"/>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c r="AB446" s="177"/>
      <c r="AC446" s="177"/>
    </row>
    <row r="447">
      <c r="A447" s="177"/>
      <c r="B447" s="177"/>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c r="AB447" s="177"/>
      <c r="AC447" s="177"/>
    </row>
    <row r="448">
      <c r="A448" s="177"/>
      <c r="B448" s="177"/>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c r="AB448" s="177"/>
      <c r="AC448" s="177"/>
    </row>
    <row r="449">
      <c r="A449" s="177"/>
      <c r="B449" s="177"/>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c r="AB449" s="177"/>
      <c r="AC449" s="177"/>
    </row>
    <row r="450">
      <c r="A450" s="177"/>
      <c r="B450" s="177"/>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c r="AB450" s="177"/>
      <c r="AC450" s="177"/>
    </row>
    <row r="451">
      <c r="A451" s="177"/>
      <c r="B451" s="177"/>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c r="AB451" s="177"/>
      <c r="AC451" s="177"/>
    </row>
    <row r="452">
      <c r="A452" s="177"/>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row>
    <row r="453">
      <c r="A453" s="177"/>
      <c r="B453" s="177"/>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c r="AB453" s="177"/>
      <c r="AC453" s="177"/>
    </row>
    <row r="454">
      <c r="A454" s="177"/>
      <c r="B454" s="177"/>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c r="AB454" s="177"/>
      <c r="AC454" s="177"/>
    </row>
    <row r="455">
      <c r="A455" s="177"/>
      <c r="B455" s="177"/>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c r="AB455" s="177"/>
      <c r="AC455" s="177"/>
    </row>
    <row r="456">
      <c r="A456" s="177"/>
      <c r="B456" s="177"/>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c r="AB456" s="177"/>
      <c r="AC456" s="177"/>
    </row>
    <row r="457">
      <c r="A457" s="177"/>
      <c r="B457" s="177"/>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c r="AB457" s="177"/>
      <c r="AC457" s="177"/>
    </row>
    <row r="458">
      <c r="A458" s="177"/>
      <c r="B458" s="177"/>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c r="AB458" s="177"/>
      <c r="AC458" s="177"/>
    </row>
    <row r="459">
      <c r="A459" s="177"/>
      <c r="B459" s="177"/>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c r="AB459" s="177"/>
      <c r="AC459" s="177"/>
    </row>
    <row r="460">
      <c r="A460" s="177"/>
      <c r="B460" s="177"/>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c r="AB460" s="177"/>
      <c r="AC460" s="177"/>
    </row>
    <row r="461">
      <c r="A461" s="177"/>
      <c r="B461" s="177"/>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c r="AB461" s="177"/>
      <c r="AC461" s="177"/>
    </row>
    <row r="462">
      <c r="A462" s="177"/>
      <c r="B462" s="177"/>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c r="AB462" s="177"/>
      <c r="AC462" s="177"/>
    </row>
    <row r="463">
      <c r="A463" s="177"/>
      <c r="B463" s="177"/>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c r="AB463" s="177"/>
      <c r="AC463" s="177"/>
    </row>
    <row r="464">
      <c r="A464" s="177"/>
      <c r="B464" s="177"/>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c r="AB464" s="177"/>
      <c r="AC464" s="177"/>
    </row>
    <row r="465">
      <c r="A465" s="177"/>
      <c r="B465" s="177"/>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c r="AB465" s="177"/>
      <c r="AC465" s="177"/>
    </row>
    <row r="466">
      <c r="A466" s="177"/>
      <c r="B466" s="177"/>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c r="AB466" s="177"/>
      <c r="AC466" s="177"/>
    </row>
    <row r="467">
      <c r="A467" s="177"/>
      <c r="B467" s="177"/>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c r="AB467" s="177"/>
      <c r="AC467" s="177"/>
    </row>
    <row r="468">
      <c r="A468" s="177"/>
      <c r="B468" s="177"/>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c r="AB468" s="177"/>
      <c r="AC468" s="177"/>
    </row>
    <row r="469">
      <c r="A469" s="177"/>
      <c r="B469" s="177"/>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c r="AB469" s="177"/>
      <c r="AC469" s="177"/>
    </row>
    <row r="470">
      <c r="A470" s="177"/>
      <c r="B470" s="177"/>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c r="AB470" s="177"/>
      <c r="AC470" s="177"/>
    </row>
    <row r="471">
      <c r="A471" s="177"/>
      <c r="B471" s="177"/>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c r="AB471" s="177"/>
      <c r="AC471" s="177"/>
    </row>
    <row r="472">
      <c r="A472" s="177"/>
      <c r="B472" s="177"/>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c r="AB472" s="177"/>
      <c r="AC472" s="177"/>
    </row>
    <row r="473">
      <c r="A473" s="177"/>
      <c r="B473" s="177"/>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c r="AB473" s="177"/>
      <c r="AC473" s="177"/>
    </row>
    <row r="474">
      <c r="A474" s="177"/>
      <c r="B474" s="177"/>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c r="AB474" s="177"/>
      <c r="AC474" s="177"/>
    </row>
    <row r="475">
      <c r="A475" s="177"/>
      <c r="B475" s="177"/>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c r="AB475" s="177"/>
      <c r="AC475" s="177"/>
    </row>
    <row r="476">
      <c r="A476" s="177"/>
      <c r="B476" s="177"/>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c r="AB476" s="177"/>
      <c r="AC476" s="177"/>
    </row>
    <row r="477">
      <c r="A477" s="177"/>
      <c r="B477" s="177"/>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c r="AB477" s="177"/>
      <c r="AC477" s="177"/>
    </row>
    <row r="478">
      <c r="A478" s="177"/>
      <c r="B478" s="177"/>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c r="AB478" s="177"/>
      <c r="AC478" s="177"/>
    </row>
    <row r="479">
      <c r="A479" s="177"/>
      <c r="B479" s="177"/>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c r="AB479" s="177"/>
      <c r="AC479" s="177"/>
    </row>
    <row r="480">
      <c r="A480" s="177"/>
      <c r="B480" s="177"/>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c r="AB480" s="177"/>
      <c r="AC480" s="177"/>
    </row>
    <row r="481">
      <c r="A481" s="177"/>
      <c r="B481" s="177"/>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c r="AB481" s="177"/>
      <c r="AC481" s="177"/>
    </row>
    <row r="482">
      <c r="A482" s="177"/>
      <c r="B482" s="177"/>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c r="AB482" s="177"/>
      <c r="AC482" s="177"/>
    </row>
    <row r="483">
      <c r="A483" s="177"/>
      <c r="B483" s="177"/>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c r="AB483" s="177"/>
      <c r="AC483" s="177"/>
    </row>
    <row r="484">
      <c r="A484" s="177"/>
      <c r="B484" s="177"/>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c r="AB484" s="177"/>
      <c r="AC484" s="177"/>
    </row>
    <row r="485">
      <c r="A485" s="177"/>
      <c r="B485" s="177"/>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c r="AB485" s="177"/>
      <c r="AC485" s="177"/>
    </row>
    <row r="486">
      <c r="A486" s="177"/>
      <c r="B486" s="177"/>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c r="AB486" s="177"/>
      <c r="AC486" s="177"/>
    </row>
    <row r="487">
      <c r="A487" s="177"/>
      <c r="B487" s="177"/>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c r="AB487" s="177"/>
      <c r="AC487" s="177"/>
    </row>
    <row r="488">
      <c r="A488" s="177"/>
      <c r="B488" s="177"/>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c r="AB488" s="177"/>
      <c r="AC488" s="177"/>
    </row>
    <row r="489">
      <c r="A489" s="177"/>
      <c r="B489" s="177"/>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c r="AB489" s="177"/>
      <c r="AC489" s="177"/>
    </row>
    <row r="490">
      <c r="A490" s="177"/>
      <c r="B490" s="177"/>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c r="AB490" s="177"/>
      <c r="AC490" s="177"/>
    </row>
    <row r="491">
      <c r="A491" s="177"/>
      <c r="B491" s="177"/>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c r="AB491" s="177"/>
      <c r="AC491" s="177"/>
    </row>
    <row r="492">
      <c r="A492" s="177"/>
      <c r="B492" s="177"/>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c r="AB492" s="177"/>
      <c r="AC492" s="177"/>
    </row>
    <row r="493">
      <c r="A493" s="177"/>
      <c r="B493" s="177"/>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c r="AB493" s="177"/>
      <c r="AC493" s="177"/>
    </row>
    <row r="494">
      <c r="A494" s="177"/>
      <c r="B494" s="177"/>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c r="AB494" s="177"/>
      <c r="AC494" s="177"/>
    </row>
    <row r="495">
      <c r="A495" s="177"/>
      <c r="B495" s="177"/>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c r="AB495" s="177"/>
      <c r="AC495" s="177"/>
    </row>
    <row r="496">
      <c r="A496" s="177"/>
      <c r="B496" s="177"/>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c r="AB496" s="177"/>
      <c r="AC496" s="177"/>
    </row>
    <row r="497">
      <c r="A497" s="177"/>
      <c r="B497" s="177"/>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c r="AB497" s="177"/>
      <c r="AC497" s="177"/>
    </row>
    <row r="498">
      <c r="A498" s="177"/>
      <c r="B498" s="177"/>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c r="AB498" s="177"/>
      <c r="AC498" s="177"/>
    </row>
    <row r="499">
      <c r="A499" s="177"/>
      <c r="B499" s="177"/>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c r="AB499" s="177"/>
      <c r="AC499" s="177"/>
    </row>
    <row r="500">
      <c r="A500" s="177"/>
      <c r="B500" s="177"/>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row>
    <row r="501">
      <c r="A501" s="177"/>
      <c r="B501" s="177"/>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c r="AB501" s="177"/>
      <c r="AC501" s="177"/>
    </row>
    <row r="502">
      <c r="A502" s="177"/>
      <c r="B502" s="177"/>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c r="AB502" s="177"/>
      <c r="AC502" s="177"/>
    </row>
    <row r="503">
      <c r="A503" s="177"/>
      <c r="B503" s="177"/>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c r="AB503" s="177"/>
      <c r="AC503" s="177"/>
    </row>
    <row r="504">
      <c r="A504" s="177"/>
      <c r="B504" s="177"/>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c r="AB504" s="177"/>
      <c r="AC504" s="177"/>
    </row>
    <row r="505">
      <c r="A505" s="177"/>
      <c r="B505" s="177"/>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c r="AB505" s="177"/>
      <c r="AC505" s="177"/>
    </row>
    <row r="506">
      <c r="A506" s="177"/>
      <c r="B506" s="177"/>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c r="AB506" s="177"/>
      <c r="AC506" s="177"/>
    </row>
    <row r="507">
      <c r="A507" s="177"/>
      <c r="B507" s="177"/>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c r="AB507" s="177"/>
      <c r="AC507" s="177"/>
    </row>
    <row r="508">
      <c r="A508" s="177"/>
      <c r="B508" s="177"/>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c r="AB508" s="177"/>
      <c r="AC508" s="177"/>
    </row>
    <row r="509">
      <c r="A509" s="177"/>
      <c r="B509" s="177"/>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c r="AB509" s="177"/>
      <c r="AC509" s="177"/>
    </row>
    <row r="510">
      <c r="A510" s="177"/>
      <c r="B510" s="177"/>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c r="AB510" s="177"/>
      <c r="AC510" s="177"/>
    </row>
    <row r="511">
      <c r="A511" s="177"/>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row>
    <row r="512">
      <c r="A512" s="177"/>
      <c r="B512" s="177"/>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c r="AB512" s="177"/>
      <c r="AC512" s="177"/>
    </row>
    <row r="513">
      <c r="A513" s="177"/>
      <c r="B513" s="177"/>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c r="AB513" s="177"/>
      <c r="AC513" s="177"/>
    </row>
    <row r="514">
      <c r="A514" s="177"/>
      <c r="B514" s="177"/>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c r="AB514" s="177"/>
      <c r="AC514" s="177"/>
    </row>
    <row r="515">
      <c r="A515" s="177"/>
      <c r="B515" s="177"/>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c r="AB515" s="177"/>
      <c r="AC515" s="177"/>
    </row>
    <row r="516">
      <c r="A516" s="177"/>
      <c r="B516" s="177"/>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c r="AB516" s="177"/>
      <c r="AC516" s="177"/>
    </row>
    <row r="517">
      <c r="A517" s="177"/>
      <c r="B517" s="177"/>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c r="AB517" s="177"/>
      <c r="AC517" s="177"/>
    </row>
    <row r="518">
      <c r="A518" s="177"/>
      <c r="B518" s="177"/>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c r="AB518" s="177"/>
      <c r="AC518" s="177"/>
    </row>
    <row r="519">
      <c r="A519" s="177"/>
      <c r="B519" s="177"/>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c r="AB519" s="177"/>
      <c r="AC519" s="177"/>
    </row>
    <row r="520">
      <c r="A520" s="177"/>
      <c r="B520" s="177"/>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c r="AB520" s="177"/>
      <c r="AC520" s="177"/>
    </row>
    <row r="521">
      <c r="A521" s="177"/>
      <c r="B521" s="177"/>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c r="AB521" s="177"/>
      <c r="AC521" s="177"/>
    </row>
    <row r="522">
      <c r="A522" s="177"/>
      <c r="B522" s="177"/>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c r="AB522" s="177"/>
      <c r="AC522" s="177"/>
    </row>
    <row r="523">
      <c r="A523" s="177"/>
      <c r="B523" s="177"/>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c r="AB523" s="177"/>
      <c r="AC523" s="177"/>
    </row>
    <row r="524">
      <c r="A524" s="177"/>
      <c r="B524" s="177"/>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c r="AB524" s="177"/>
      <c r="AC524" s="177"/>
    </row>
    <row r="525">
      <c r="A525" s="177"/>
      <c r="B525" s="177"/>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c r="AB525" s="177"/>
      <c r="AC525" s="177"/>
    </row>
    <row r="526">
      <c r="A526" s="177"/>
      <c r="B526" s="177"/>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c r="AB526" s="177"/>
      <c r="AC526" s="177"/>
    </row>
    <row r="527">
      <c r="A527" s="177"/>
      <c r="B527" s="177"/>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c r="AB527" s="177"/>
      <c r="AC527" s="177"/>
    </row>
    <row r="528">
      <c r="A528" s="177"/>
      <c r="B528" s="177"/>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c r="AB528" s="177"/>
      <c r="AC528" s="177"/>
    </row>
    <row r="529">
      <c r="A529" s="177"/>
      <c r="B529" s="177"/>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c r="AB529" s="177"/>
      <c r="AC529" s="177"/>
    </row>
    <row r="530">
      <c r="A530" s="177"/>
      <c r="B530" s="177"/>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c r="AB530" s="177"/>
      <c r="AC530" s="177"/>
    </row>
    <row r="531">
      <c r="A531" s="177"/>
      <c r="B531" s="177"/>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c r="AB531" s="177"/>
      <c r="AC531" s="177"/>
    </row>
    <row r="532">
      <c r="A532" s="177"/>
      <c r="B532" s="177"/>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c r="AB532" s="177"/>
      <c r="AC532" s="177"/>
    </row>
    <row r="533">
      <c r="A533" s="177"/>
      <c r="B533" s="177"/>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c r="AB533" s="177"/>
      <c r="AC533" s="177"/>
    </row>
    <row r="534">
      <c r="A534" s="177"/>
      <c r="B534" s="177"/>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c r="AB534" s="177"/>
      <c r="AC534" s="177"/>
    </row>
    <row r="535">
      <c r="A535" s="177"/>
      <c r="B535" s="177"/>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c r="AB535" s="177"/>
      <c r="AC535" s="177"/>
    </row>
    <row r="536">
      <c r="A536" s="177"/>
      <c r="B536" s="177"/>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c r="AB536" s="177"/>
      <c r="AC536" s="177"/>
    </row>
    <row r="537">
      <c r="A537" s="177"/>
      <c r="B537" s="177"/>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c r="AB537" s="177"/>
      <c r="AC537" s="177"/>
    </row>
    <row r="538">
      <c r="A538" s="177"/>
      <c r="B538" s="177"/>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c r="AB538" s="177"/>
      <c r="AC538" s="177"/>
    </row>
    <row r="539">
      <c r="A539" s="177"/>
      <c r="B539" s="177"/>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c r="AB539" s="177"/>
      <c r="AC539" s="177"/>
    </row>
    <row r="540">
      <c r="A540" s="177"/>
      <c r="B540" s="177"/>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c r="AB540" s="177"/>
      <c r="AC540" s="177"/>
    </row>
    <row r="541">
      <c r="A541" s="177"/>
      <c r="B541" s="177"/>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c r="AB541" s="177"/>
      <c r="AC541" s="177"/>
    </row>
    <row r="542">
      <c r="A542" s="177"/>
      <c r="B542" s="177"/>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c r="AB542" s="177"/>
      <c r="AC542" s="177"/>
    </row>
    <row r="543">
      <c r="A543" s="177"/>
      <c r="B543" s="177"/>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c r="AB543" s="177"/>
      <c r="AC543" s="177"/>
    </row>
    <row r="544">
      <c r="A544" s="177"/>
      <c r="B544" s="177"/>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c r="AB544" s="177"/>
      <c r="AC544" s="177"/>
    </row>
    <row r="545">
      <c r="A545" s="177"/>
      <c r="B545" s="177"/>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c r="AB545" s="177"/>
      <c r="AC545" s="177"/>
    </row>
    <row r="546">
      <c r="A546" s="177"/>
      <c r="B546" s="177"/>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c r="AB546" s="177"/>
      <c r="AC546" s="177"/>
    </row>
    <row r="547">
      <c r="A547" s="177"/>
      <c r="B547" s="177"/>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c r="AB547" s="177"/>
      <c r="AC547" s="177"/>
    </row>
    <row r="548">
      <c r="A548" s="177"/>
      <c r="B548" s="177"/>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c r="AB548" s="177"/>
      <c r="AC548" s="177"/>
    </row>
    <row r="549">
      <c r="A549" s="177"/>
      <c r="B549" s="177"/>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c r="AB549" s="177"/>
      <c r="AC549" s="177"/>
    </row>
    <row r="550">
      <c r="A550" s="177"/>
      <c r="B550" s="177"/>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c r="AB550" s="177"/>
      <c r="AC550" s="177"/>
    </row>
    <row r="551">
      <c r="A551" s="177"/>
      <c r="B551" s="177"/>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c r="AB551" s="177"/>
      <c r="AC551" s="177"/>
    </row>
    <row r="552">
      <c r="A552" s="177"/>
      <c r="B552" s="177"/>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c r="AB552" s="177"/>
      <c r="AC552" s="177"/>
    </row>
    <row r="553">
      <c r="A553" s="177"/>
      <c r="B553" s="177"/>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c r="AB553" s="177"/>
      <c r="AC553" s="177"/>
    </row>
    <row r="554">
      <c r="A554" s="177"/>
      <c r="B554" s="177"/>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c r="AB554" s="177"/>
      <c r="AC554" s="177"/>
    </row>
    <row r="555">
      <c r="A555" s="177"/>
      <c r="B555" s="177"/>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c r="AB555" s="177"/>
      <c r="AC555" s="177"/>
    </row>
    <row r="556">
      <c r="A556" s="177"/>
      <c r="B556" s="177"/>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c r="AB556" s="177"/>
      <c r="AC556" s="177"/>
    </row>
    <row r="557">
      <c r="A557" s="177"/>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row>
    <row r="558">
      <c r="A558" s="177"/>
      <c r="B558" s="177"/>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c r="AB558" s="177"/>
      <c r="AC558" s="177"/>
    </row>
    <row r="559">
      <c r="A559" s="177"/>
      <c r="B559" s="177"/>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c r="AB559" s="177"/>
      <c r="AC559" s="177"/>
    </row>
    <row r="560">
      <c r="A560" s="177"/>
      <c r="B560" s="177"/>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c r="AB560" s="177"/>
      <c r="AC560" s="177"/>
    </row>
    <row r="561">
      <c r="A561" s="177"/>
      <c r="B561" s="177"/>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c r="AB561" s="177"/>
      <c r="AC561" s="177"/>
    </row>
    <row r="562">
      <c r="A562" s="177"/>
      <c r="B562" s="177"/>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c r="AB562" s="177"/>
      <c r="AC562" s="177"/>
    </row>
    <row r="563">
      <c r="A563" s="177"/>
      <c r="B563" s="177"/>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c r="AB563" s="177"/>
      <c r="AC563" s="177"/>
    </row>
    <row r="564">
      <c r="A564" s="177"/>
      <c r="B564" s="177"/>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c r="AB564" s="177"/>
      <c r="AC564" s="177"/>
    </row>
    <row r="565">
      <c r="A565" s="177"/>
      <c r="B565" s="177"/>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c r="AB565" s="177"/>
      <c r="AC565" s="177"/>
    </row>
    <row r="566">
      <c r="A566" s="177"/>
      <c r="B566" s="177"/>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c r="AB566" s="177"/>
      <c r="AC566" s="177"/>
    </row>
    <row r="567">
      <c r="A567" s="177"/>
      <c r="B567" s="177"/>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c r="AB567" s="177"/>
      <c r="AC567" s="177"/>
    </row>
    <row r="568">
      <c r="A568" s="177"/>
      <c r="B568" s="177"/>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c r="AB568" s="177"/>
      <c r="AC568" s="177"/>
    </row>
    <row r="569">
      <c r="A569" s="177"/>
      <c r="B569" s="177"/>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c r="AB569" s="177"/>
      <c r="AC569" s="177"/>
    </row>
    <row r="570">
      <c r="A570" s="177"/>
      <c r="B570" s="177"/>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c r="AB570" s="177"/>
      <c r="AC570" s="177"/>
    </row>
    <row r="571">
      <c r="A571" s="177"/>
      <c r="B571" s="177"/>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c r="AB571" s="177"/>
      <c r="AC571" s="177"/>
    </row>
    <row r="572">
      <c r="A572" s="177"/>
      <c r="B572" s="177"/>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c r="AB572" s="177"/>
      <c r="AC572" s="177"/>
    </row>
    <row r="573">
      <c r="A573" s="177"/>
      <c r="B573" s="177"/>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c r="AB573" s="177"/>
      <c r="AC573" s="177"/>
    </row>
    <row r="574">
      <c r="A574" s="177"/>
      <c r="B574" s="177"/>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c r="AB574" s="177"/>
      <c r="AC574" s="177"/>
    </row>
    <row r="575">
      <c r="A575" s="177"/>
      <c r="B575" s="177"/>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c r="AB575" s="177"/>
      <c r="AC575" s="177"/>
    </row>
    <row r="576">
      <c r="A576" s="177"/>
      <c r="B576" s="177"/>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c r="AB576" s="177"/>
      <c r="AC576" s="177"/>
    </row>
    <row r="577">
      <c r="A577" s="177"/>
      <c r="B577" s="177"/>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c r="AB577" s="177"/>
      <c r="AC577" s="177"/>
    </row>
    <row r="578">
      <c r="A578" s="177"/>
      <c r="B578" s="177"/>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c r="AB578" s="177"/>
      <c r="AC578" s="177"/>
    </row>
    <row r="579">
      <c r="A579" s="177"/>
      <c r="B579" s="177"/>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c r="AB579" s="177"/>
      <c r="AC579" s="177"/>
    </row>
    <row r="580">
      <c r="A580" s="177"/>
      <c r="B580" s="177"/>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c r="AB580" s="177"/>
      <c r="AC580" s="177"/>
    </row>
    <row r="581">
      <c r="A581" s="177"/>
      <c r="B581" s="177"/>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c r="AB581" s="177"/>
      <c r="AC581" s="177"/>
    </row>
    <row r="582">
      <c r="A582" s="177"/>
      <c r="B582" s="177"/>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c r="AB582" s="177"/>
      <c r="AC582" s="177"/>
    </row>
    <row r="583">
      <c r="A583" s="177"/>
      <c r="B583" s="177"/>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c r="AB583" s="177"/>
      <c r="AC583" s="177"/>
    </row>
    <row r="584">
      <c r="A584" s="177"/>
      <c r="B584" s="177"/>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c r="AB584" s="177"/>
      <c r="AC584" s="177"/>
    </row>
    <row r="585">
      <c r="A585" s="177"/>
      <c r="B585" s="177"/>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c r="AB585" s="177"/>
      <c r="AC585" s="177"/>
    </row>
    <row r="586">
      <c r="A586" s="177"/>
      <c r="B586" s="177"/>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c r="AB586" s="177"/>
      <c r="AC586" s="177"/>
    </row>
    <row r="587">
      <c r="A587" s="177"/>
      <c r="B587" s="177"/>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c r="AB587" s="177"/>
      <c r="AC587" s="177"/>
    </row>
    <row r="588">
      <c r="A588" s="177"/>
      <c r="B588" s="177"/>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c r="AB588" s="177"/>
      <c r="AC588" s="177"/>
    </row>
    <row r="589">
      <c r="A589" s="177"/>
      <c r="B589" s="177"/>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c r="AB589" s="177"/>
      <c r="AC589" s="177"/>
    </row>
    <row r="590">
      <c r="A590" s="177"/>
      <c r="B590" s="177"/>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c r="AB590" s="177"/>
      <c r="AC590" s="177"/>
    </row>
    <row r="591">
      <c r="A591" s="177"/>
      <c r="B591" s="177"/>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c r="AB591" s="177"/>
      <c r="AC591" s="177"/>
    </row>
    <row r="592">
      <c r="A592" s="177"/>
      <c r="B592" s="177"/>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c r="AB592" s="177"/>
      <c r="AC592" s="177"/>
    </row>
    <row r="593">
      <c r="A593" s="177"/>
      <c r="B593" s="177"/>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c r="AB593" s="177"/>
      <c r="AC593" s="177"/>
    </row>
    <row r="594">
      <c r="A594" s="177"/>
      <c r="B594" s="177"/>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c r="AB594" s="177"/>
      <c r="AC594" s="177"/>
    </row>
    <row r="595">
      <c r="A595" s="177"/>
      <c r="B595" s="177"/>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c r="AB595" s="177"/>
      <c r="AC595" s="177"/>
    </row>
    <row r="596">
      <c r="A596" s="177"/>
      <c r="B596" s="177"/>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c r="AB596" s="177"/>
      <c r="AC596" s="177"/>
    </row>
    <row r="597">
      <c r="A597" s="177"/>
      <c r="B597" s="177"/>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c r="AB597" s="177"/>
      <c r="AC597" s="177"/>
    </row>
    <row r="598">
      <c r="A598" s="177"/>
      <c r="B598" s="177"/>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c r="AB598" s="177"/>
      <c r="AC598" s="177"/>
    </row>
    <row r="599">
      <c r="A599" s="177"/>
      <c r="B599" s="177"/>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c r="AB599" s="177"/>
      <c r="AC599" s="177"/>
    </row>
    <row r="600">
      <c r="A600" s="177"/>
      <c r="B600" s="177"/>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c r="AB600" s="177"/>
      <c r="AC600" s="177"/>
    </row>
    <row r="601">
      <c r="A601" s="177"/>
      <c r="B601" s="177"/>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c r="AB601" s="177"/>
      <c r="AC601" s="177"/>
    </row>
    <row r="602">
      <c r="A602" s="177"/>
      <c r="B602" s="177"/>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c r="AB602" s="177"/>
      <c r="AC602" s="177"/>
    </row>
    <row r="603">
      <c r="A603" s="177"/>
      <c r="B603" s="177"/>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c r="AB603" s="177"/>
      <c r="AC603" s="177"/>
    </row>
    <row r="604">
      <c r="A604" s="177"/>
      <c r="B604" s="177"/>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c r="AB604" s="177"/>
      <c r="AC604" s="177"/>
    </row>
    <row r="605">
      <c r="A605" s="177"/>
      <c r="B605" s="177"/>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c r="AB605" s="177"/>
      <c r="AC605" s="177"/>
    </row>
    <row r="606">
      <c r="A606" s="177"/>
      <c r="B606" s="177"/>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c r="AB606" s="177"/>
      <c r="AC606" s="177"/>
    </row>
    <row r="607">
      <c r="A607" s="177"/>
      <c r="B607" s="177"/>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c r="AB607" s="177"/>
      <c r="AC607" s="177"/>
    </row>
    <row r="608">
      <c r="A608" s="177"/>
      <c r="B608" s="177"/>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c r="AB608" s="177"/>
      <c r="AC608" s="177"/>
    </row>
    <row r="609">
      <c r="A609" s="177"/>
      <c r="B609" s="177"/>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c r="AB609" s="177"/>
      <c r="AC609" s="177"/>
    </row>
    <row r="610">
      <c r="A610" s="177"/>
      <c r="B610" s="177"/>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c r="AB610" s="177"/>
      <c r="AC610" s="177"/>
    </row>
    <row r="611">
      <c r="A611" s="177"/>
      <c r="B611" s="177"/>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c r="AB611" s="177"/>
      <c r="AC611" s="177"/>
    </row>
    <row r="612">
      <c r="A612" s="177"/>
      <c r="B612" s="177"/>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c r="AB612" s="177"/>
      <c r="AC612" s="177"/>
    </row>
    <row r="613">
      <c r="A613" s="177"/>
      <c r="B613" s="177"/>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c r="AB613" s="177"/>
      <c r="AC613" s="177"/>
    </row>
    <row r="614">
      <c r="A614" s="177"/>
      <c r="B614" s="177"/>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c r="AB614" s="177"/>
      <c r="AC614" s="177"/>
    </row>
    <row r="615">
      <c r="A615" s="177"/>
      <c r="B615" s="177"/>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c r="AB615" s="177"/>
      <c r="AC615" s="177"/>
    </row>
    <row r="616">
      <c r="A616" s="177"/>
      <c r="B616" s="177"/>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c r="AB616" s="177"/>
      <c r="AC616" s="177"/>
    </row>
    <row r="617">
      <c r="A617" s="177"/>
      <c r="B617" s="177"/>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c r="AB617" s="177"/>
      <c r="AC617" s="177"/>
    </row>
    <row r="618">
      <c r="A618" s="177"/>
      <c r="B618" s="177"/>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c r="AB618" s="177"/>
      <c r="AC618" s="177"/>
    </row>
    <row r="619">
      <c r="A619" s="177"/>
      <c r="B619" s="177"/>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c r="AB619" s="177"/>
      <c r="AC619" s="177"/>
    </row>
    <row r="620">
      <c r="A620" s="177"/>
      <c r="B620" s="177"/>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c r="AB620" s="177"/>
      <c r="AC620" s="177"/>
    </row>
    <row r="621">
      <c r="A621" s="177"/>
      <c r="B621" s="177"/>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c r="AB621" s="177"/>
      <c r="AC621" s="177"/>
    </row>
    <row r="622">
      <c r="A622" s="177"/>
      <c r="B622" s="177"/>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c r="AB622" s="177"/>
      <c r="AC622" s="177"/>
    </row>
    <row r="623">
      <c r="A623" s="177"/>
      <c r="B623" s="177"/>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c r="AB623" s="177"/>
      <c r="AC623" s="177"/>
    </row>
    <row r="624">
      <c r="A624" s="177"/>
      <c r="B624" s="177"/>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c r="AB624" s="177"/>
      <c r="AC624" s="177"/>
    </row>
    <row r="625">
      <c r="A625" s="177"/>
      <c r="B625" s="177"/>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c r="AB625" s="177"/>
      <c r="AC625" s="177"/>
    </row>
    <row r="626">
      <c r="A626" s="177"/>
      <c r="B626" s="177"/>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c r="AB626" s="177"/>
      <c r="AC626" s="177"/>
    </row>
    <row r="627">
      <c r="A627" s="177"/>
      <c r="B627" s="177"/>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c r="AB627" s="177"/>
      <c r="AC627" s="177"/>
    </row>
    <row r="628">
      <c r="A628" s="177"/>
      <c r="B628" s="177"/>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c r="AB628" s="177"/>
      <c r="AC628" s="177"/>
    </row>
    <row r="629">
      <c r="A629" s="177"/>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c r="AB629" s="177"/>
      <c r="AC629" s="177"/>
    </row>
    <row r="630">
      <c r="A630" s="177"/>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c r="AB630" s="177"/>
      <c r="AC630" s="177"/>
    </row>
    <row r="631">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row>
    <row r="632">
      <c r="A632" s="177"/>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row>
    <row r="633">
      <c r="A633" s="177"/>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row>
    <row r="634">
      <c r="A634" s="177"/>
      <c r="B634" s="177"/>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c r="AB634" s="177"/>
      <c r="AC634" s="177"/>
    </row>
    <row r="635">
      <c r="A635" s="177"/>
      <c r="B635" s="177"/>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c r="AB635" s="177"/>
      <c r="AC635" s="177"/>
    </row>
    <row r="636">
      <c r="A636" s="177"/>
      <c r="B636" s="177"/>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c r="AB636" s="177"/>
      <c r="AC636" s="177"/>
    </row>
    <row r="637">
      <c r="A637" s="177"/>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row>
    <row r="638">
      <c r="A638" s="177"/>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row>
    <row r="639">
      <c r="A639" s="177"/>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row>
    <row r="640">
      <c r="A640" s="177"/>
      <c r="B640" s="177"/>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c r="AB640" s="177"/>
      <c r="AC640" s="177"/>
    </row>
    <row r="641">
      <c r="A641" s="177"/>
      <c r="B641" s="177"/>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c r="AB641" s="177"/>
      <c r="AC641" s="177"/>
    </row>
    <row r="642">
      <c r="A642" s="177"/>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row>
    <row r="643">
      <c r="A643" s="177"/>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row>
    <row r="644">
      <c r="A644" s="177"/>
      <c r="B644" s="177"/>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c r="AB644" s="177"/>
      <c r="AC644" s="177"/>
    </row>
    <row r="645">
      <c r="A645" s="177"/>
      <c r="B645" s="177"/>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c r="AB645" s="177"/>
      <c r="AC645" s="177"/>
    </row>
    <row r="646">
      <c r="A646" s="177"/>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row>
    <row r="647">
      <c r="A647" s="177"/>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row>
    <row r="648">
      <c r="A648" s="177"/>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row>
    <row r="649">
      <c r="A649" s="177"/>
      <c r="B649" s="177"/>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c r="AB649" s="177"/>
      <c r="AC649" s="177"/>
    </row>
    <row r="650">
      <c r="A650" s="177"/>
      <c r="B650" s="177"/>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c r="AB650" s="177"/>
      <c r="AC650" s="177"/>
    </row>
    <row r="651">
      <c r="A651" s="177"/>
      <c r="B651" s="177"/>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c r="AB651" s="177"/>
      <c r="AC651" s="177"/>
    </row>
    <row r="652">
      <c r="A652" s="177"/>
      <c r="B652" s="177"/>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c r="AB652" s="177"/>
      <c r="AC652" s="177"/>
    </row>
    <row r="653">
      <c r="A653" s="177"/>
      <c r="B653" s="177"/>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c r="AB653" s="177"/>
      <c r="AC653" s="177"/>
    </row>
    <row r="654">
      <c r="A654" s="177"/>
      <c r="B654" s="177"/>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c r="AB654" s="177"/>
      <c r="AC654" s="177"/>
    </row>
    <row r="655">
      <c r="A655" s="177"/>
      <c r="B655" s="177"/>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c r="AB655" s="177"/>
      <c r="AC655" s="177"/>
    </row>
    <row r="656">
      <c r="A656" s="177"/>
      <c r="B656" s="177"/>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c r="AB656" s="177"/>
      <c r="AC656" s="177"/>
    </row>
    <row r="657">
      <c r="A657" s="177"/>
      <c r="B657" s="177"/>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c r="AB657" s="177"/>
      <c r="AC657" s="177"/>
    </row>
    <row r="658">
      <c r="A658" s="177"/>
      <c r="B658" s="177"/>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c r="AB658" s="177"/>
      <c r="AC658" s="177"/>
    </row>
    <row r="659">
      <c r="A659" s="177"/>
      <c r="B659" s="177"/>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c r="AB659" s="177"/>
      <c r="AC659" s="177"/>
    </row>
    <row r="660">
      <c r="A660" s="177"/>
      <c r="B660" s="177"/>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c r="AB660" s="177"/>
      <c r="AC660" s="177"/>
    </row>
    <row r="661">
      <c r="A661" s="177"/>
      <c r="B661" s="177"/>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c r="AB661" s="177"/>
      <c r="AC661" s="177"/>
    </row>
    <row r="662">
      <c r="A662" s="177"/>
      <c r="B662" s="177"/>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c r="AB662" s="177"/>
      <c r="AC662" s="177"/>
    </row>
    <row r="663">
      <c r="A663" s="177"/>
      <c r="B663" s="177"/>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c r="AB663" s="177"/>
      <c r="AC663" s="177"/>
    </row>
    <row r="664">
      <c r="A664" s="177"/>
      <c r="B664" s="177"/>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c r="AB664" s="177"/>
      <c r="AC664" s="177"/>
    </row>
    <row r="665">
      <c r="A665" s="177"/>
      <c r="B665" s="177"/>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c r="AB665" s="177"/>
      <c r="AC665" s="177"/>
    </row>
    <row r="666">
      <c r="A666" s="177"/>
      <c r="B666" s="177"/>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c r="AB666" s="177"/>
      <c r="AC666" s="177"/>
    </row>
    <row r="667">
      <c r="A667" s="177"/>
      <c r="B667" s="177"/>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c r="AB667" s="177"/>
      <c r="AC667" s="177"/>
    </row>
    <row r="668">
      <c r="A668" s="177"/>
      <c r="B668" s="177"/>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c r="AB668" s="177"/>
      <c r="AC668" s="177"/>
    </row>
    <row r="669">
      <c r="A669" s="177"/>
      <c r="B669" s="177"/>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c r="AB669" s="177"/>
      <c r="AC669" s="177"/>
    </row>
    <row r="670">
      <c r="A670" s="177"/>
      <c r="B670" s="177"/>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c r="AB670" s="177"/>
      <c r="AC670" s="177"/>
    </row>
    <row r="671">
      <c r="A671" s="177"/>
      <c r="B671" s="177"/>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c r="AB671" s="177"/>
      <c r="AC671" s="177"/>
    </row>
    <row r="672">
      <c r="A672" s="177"/>
      <c r="B672" s="177"/>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c r="AB672" s="177"/>
      <c r="AC672" s="177"/>
    </row>
    <row r="673">
      <c r="A673" s="177"/>
      <c r="B673" s="177"/>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c r="AB673" s="177"/>
      <c r="AC673" s="177"/>
    </row>
    <row r="674">
      <c r="A674" s="177"/>
      <c r="B674" s="177"/>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c r="AB674" s="177"/>
      <c r="AC674" s="177"/>
    </row>
    <row r="675">
      <c r="A675" s="177"/>
      <c r="B675" s="177"/>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c r="AB675" s="177"/>
      <c r="AC675" s="177"/>
    </row>
    <row r="676">
      <c r="A676" s="177"/>
      <c r="B676" s="177"/>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c r="AB676" s="177"/>
      <c r="AC676" s="177"/>
    </row>
    <row r="677">
      <c r="A677" s="177"/>
      <c r="B677" s="177"/>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c r="AB677" s="177"/>
      <c r="AC677" s="177"/>
    </row>
    <row r="678">
      <c r="A678" s="177"/>
      <c r="B678" s="177"/>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c r="AB678" s="177"/>
      <c r="AC678" s="177"/>
    </row>
    <row r="679">
      <c r="A679" s="177"/>
      <c r="B679" s="177"/>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c r="AB679" s="177"/>
      <c r="AC679" s="177"/>
    </row>
    <row r="680">
      <c r="A680" s="177"/>
      <c r="B680" s="177"/>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c r="AB680" s="177"/>
      <c r="AC680" s="177"/>
    </row>
    <row r="681">
      <c r="A681" s="177"/>
      <c r="B681" s="177"/>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c r="AB681" s="177"/>
      <c r="AC681" s="177"/>
    </row>
    <row r="682">
      <c r="A682" s="177"/>
      <c r="B682" s="177"/>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c r="AB682" s="177"/>
      <c r="AC682" s="177"/>
    </row>
    <row r="683">
      <c r="A683" s="177"/>
      <c r="B683" s="177"/>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c r="AB683" s="177"/>
      <c r="AC683" s="177"/>
    </row>
    <row r="684">
      <c r="A684" s="177"/>
      <c r="B684" s="177"/>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c r="AB684" s="177"/>
      <c r="AC684" s="177"/>
    </row>
    <row r="685">
      <c r="A685" s="177"/>
      <c r="B685" s="177"/>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c r="AB685" s="177"/>
      <c r="AC685" s="177"/>
    </row>
    <row r="686">
      <c r="A686" s="177"/>
      <c r="B686" s="177"/>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c r="AB686" s="177"/>
      <c r="AC686" s="177"/>
    </row>
    <row r="687">
      <c r="A687" s="177"/>
      <c r="B687" s="177"/>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c r="AB687" s="177"/>
      <c r="AC687" s="177"/>
    </row>
    <row r="688">
      <c r="A688" s="177"/>
      <c r="B688" s="177"/>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c r="AB688" s="177"/>
      <c r="AC688" s="177"/>
    </row>
    <row r="689">
      <c r="A689" s="177"/>
      <c r="B689" s="177"/>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c r="AB689" s="177"/>
      <c r="AC689" s="177"/>
    </row>
    <row r="690">
      <c r="A690" s="177"/>
      <c r="B690" s="177"/>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c r="AB690" s="177"/>
      <c r="AC690" s="177"/>
    </row>
    <row r="691">
      <c r="A691" s="177"/>
      <c r="B691" s="177"/>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c r="AB691" s="177"/>
      <c r="AC691" s="177"/>
    </row>
    <row r="692">
      <c r="A692" s="177"/>
      <c r="B692" s="177"/>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c r="AB692" s="177"/>
      <c r="AC692" s="177"/>
    </row>
    <row r="693">
      <c r="A693" s="177"/>
      <c r="B693" s="177"/>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c r="AB693" s="177"/>
      <c r="AC693" s="177"/>
    </row>
    <row r="694">
      <c r="A694" s="177"/>
      <c r="B694" s="177"/>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c r="AB694" s="177"/>
      <c r="AC694" s="177"/>
    </row>
    <row r="695">
      <c r="A695" s="177"/>
      <c r="B695" s="177"/>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c r="AB695" s="177"/>
      <c r="AC695" s="177"/>
    </row>
    <row r="696">
      <c r="A696" s="177"/>
      <c r="B696" s="177"/>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c r="AB696" s="177"/>
      <c r="AC696" s="177"/>
    </row>
    <row r="697">
      <c r="A697" s="177"/>
      <c r="B697" s="177"/>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c r="AB697" s="177"/>
      <c r="AC697" s="177"/>
    </row>
    <row r="698">
      <c r="A698" s="177"/>
      <c r="B698" s="177"/>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c r="AB698" s="177"/>
      <c r="AC698" s="177"/>
    </row>
    <row r="699">
      <c r="A699" s="177"/>
      <c r="B699" s="177"/>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c r="AB699" s="177"/>
      <c r="AC699" s="177"/>
    </row>
    <row r="700">
      <c r="A700" s="177"/>
      <c r="B700" s="177"/>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c r="AB700" s="177"/>
      <c r="AC700" s="177"/>
    </row>
    <row r="701">
      <c r="A701" s="177"/>
      <c r="B701" s="177"/>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c r="AB701" s="177"/>
      <c r="AC701" s="177"/>
    </row>
    <row r="702">
      <c r="A702" s="177"/>
      <c r="B702" s="177"/>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c r="AB702" s="177"/>
      <c r="AC702" s="177"/>
    </row>
    <row r="703">
      <c r="A703" s="177"/>
      <c r="B703" s="177"/>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c r="AB703" s="177"/>
      <c r="AC703" s="177"/>
    </row>
    <row r="704">
      <c r="A704" s="177"/>
      <c r="B704" s="177"/>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c r="AB704" s="177"/>
      <c r="AC704" s="177"/>
    </row>
    <row r="705">
      <c r="A705" s="177"/>
      <c r="B705" s="177"/>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c r="AB705" s="177"/>
      <c r="AC705" s="177"/>
    </row>
    <row r="706">
      <c r="A706" s="177"/>
      <c r="B706" s="177"/>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c r="AB706" s="177"/>
      <c r="AC706" s="177"/>
    </row>
    <row r="707">
      <c r="A707" s="177"/>
      <c r="B707" s="177"/>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c r="AB707" s="177"/>
      <c r="AC707" s="177"/>
    </row>
    <row r="708">
      <c r="A708" s="177"/>
      <c r="B708" s="177"/>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c r="AB708" s="177"/>
      <c r="AC708" s="177"/>
    </row>
    <row r="709">
      <c r="A709" s="177"/>
      <c r="B709" s="177"/>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c r="AB709" s="177"/>
      <c r="AC709" s="177"/>
    </row>
    <row r="710">
      <c r="A710" s="177"/>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row>
    <row r="711">
      <c r="A711" s="177"/>
      <c r="B711" s="177"/>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c r="AB711" s="177"/>
      <c r="AC711" s="177"/>
    </row>
    <row r="712">
      <c r="A712" s="177"/>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row>
    <row r="713">
      <c r="A713" s="177"/>
      <c r="B713" s="177"/>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c r="AB713" s="177"/>
      <c r="AC713" s="177"/>
    </row>
    <row r="714">
      <c r="A714" s="177"/>
      <c r="B714" s="177"/>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c r="AB714" s="177"/>
      <c r="AC714" s="177"/>
    </row>
    <row r="715">
      <c r="A715" s="177"/>
      <c r="B715" s="177"/>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c r="AB715" s="177"/>
      <c r="AC715" s="177"/>
    </row>
    <row r="716">
      <c r="A716" s="177"/>
      <c r="B716" s="177"/>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c r="AB716" s="177"/>
      <c r="AC716" s="177"/>
    </row>
    <row r="717">
      <c r="A717" s="177"/>
      <c r="B717" s="177"/>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c r="AB717" s="177"/>
      <c r="AC717" s="177"/>
    </row>
    <row r="718">
      <c r="A718" s="177"/>
      <c r="B718" s="177"/>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c r="AB718" s="177"/>
      <c r="AC718" s="177"/>
    </row>
    <row r="719">
      <c r="A719" s="177"/>
      <c r="B719" s="177"/>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c r="AB719" s="177"/>
      <c r="AC719" s="177"/>
    </row>
    <row r="720">
      <c r="A720" s="177"/>
      <c r="B720" s="177"/>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c r="AB720" s="177"/>
      <c r="AC720" s="177"/>
    </row>
    <row r="721">
      <c r="A721" s="177"/>
      <c r="B721" s="177"/>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c r="AB721" s="177"/>
      <c r="AC721" s="177"/>
    </row>
    <row r="722">
      <c r="A722" s="177"/>
      <c r="B722" s="177"/>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c r="AB722" s="177"/>
      <c r="AC722" s="177"/>
    </row>
    <row r="723">
      <c r="A723" s="177"/>
      <c r="B723" s="177"/>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c r="AB723" s="177"/>
      <c r="AC723" s="177"/>
    </row>
    <row r="724">
      <c r="A724" s="177"/>
      <c r="B724" s="177"/>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c r="AB724" s="177"/>
      <c r="AC724" s="177"/>
    </row>
    <row r="725">
      <c r="A725" s="177"/>
      <c r="B725" s="177"/>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c r="AB725" s="177"/>
      <c r="AC725" s="177"/>
    </row>
    <row r="726">
      <c r="A726" s="177"/>
      <c r="B726" s="177"/>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c r="AB726" s="177"/>
      <c r="AC726" s="177"/>
    </row>
    <row r="727">
      <c r="A727" s="177"/>
      <c r="B727" s="177"/>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c r="AB727" s="177"/>
      <c r="AC727" s="177"/>
    </row>
    <row r="728">
      <c r="A728" s="177"/>
      <c r="B728" s="177"/>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c r="AB728" s="177"/>
      <c r="AC728" s="177"/>
    </row>
    <row r="729">
      <c r="A729" s="177"/>
      <c r="B729" s="177"/>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c r="AB729" s="177"/>
      <c r="AC729" s="177"/>
    </row>
    <row r="730">
      <c r="A730" s="177"/>
      <c r="B730" s="177"/>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c r="AB730" s="177"/>
      <c r="AC730" s="177"/>
    </row>
    <row r="731">
      <c r="A731" s="177"/>
      <c r="B731" s="177"/>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c r="AB731" s="177"/>
      <c r="AC731" s="177"/>
    </row>
    <row r="732">
      <c r="A732" s="177"/>
      <c r="B732" s="177"/>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c r="AB732" s="177"/>
      <c r="AC732" s="177"/>
    </row>
    <row r="733">
      <c r="A733" s="177"/>
      <c r="B733" s="177"/>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c r="AB733" s="177"/>
      <c r="AC733" s="177"/>
    </row>
    <row r="734">
      <c r="A734" s="177"/>
      <c r="B734" s="177"/>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c r="AB734" s="177"/>
      <c r="AC734" s="177"/>
    </row>
    <row r="735">
      <c r="A735" s="177"/>
      <c r="B735" s="177"/>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c r="AB735" s="177"/>
      <c r="AC735" s="177"/>
    </row>
    <row r="736">
      <c r="A736" s="177"/>
      <c r="B736" s="177"/>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c r="AB736" s="177"/>
      <c r="AC736" s="177"/>
    </row>
    <row r="737">
      <c r="A737" s="177"/>
      <c r="B737" s="177"/>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c r="AB737" s="177"/>
      <c r="AC737" s="177"/>
    </row>
    <row r="738">
      <c r="A738" s="177"/>
      <c r="B738" s="177"/>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c r="AB738" s="177"/>
      <c r="AC738" s="177"/>
    </row>
    <row r="739">
      <c r="A739" s="177"/>
      <c r="B739" s="177"/>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c r="AB739" s="177"/>
      <c r="AC739" s="177"/>
    </row>
    <row r="740">
      <c r="A740" s="177"/>
      <c r="B740" s="177"/>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c r="AB740" s="177"/>
      <c r="AC740" s="177"/>
    </row>
    <row r="741">
      <c r="A741" s="177"/>
      <c r="B741" s="177"/>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c r="AB741" s="177"/>
      <c r="AC741" s="177"/>
    </row>
    <row r="742">
      <c r="A742" s="177"/>
      <c r="B742" s="177"/>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c r="AB742" s="177"/>
      <c r="AC742" s="177"/>
    </row>
    <row r="743">
      <c r="A743" s="177"/>
      <c r="B743" s="177"/>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c r="AB743" s="177"/>
      <c r="AC743" s="177"/>
    </row>
    <row r="744">
      <c r="A744" s="177"/>
      <c r="B744" s="177"/>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c r="AB744" s="177"/>
      <c r="AC744" s="177"/>
    </row>
    <row r="745">
      <c r="A745" s="177"/>
      <c r="B745" s="177"/>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c r="AB745" s="177"/>
      <c r="AC745" s="177"/>
    </row>
    <row r="746">
      <c r="A746" s="177"/>
      <c r="B746" s="177"/>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c r="AB746" s="177"/>
      <c r="AC746" s="177"/>
    </row>
    <row r="747">
      <c r="A747" s="177"/>
      <c r="B747" s="177"/>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c r="AB747" s="177"/>
      <c r="AC747" s="177"/>
    </row>
    <row r="748">
      <c r="A748" s="177"/>
      <c r="B748" s="177"/>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c r="AB748" s="177"/>
      <c r="AC748" s="177"/>
    </row>
    <row r="749">
      <c r="A749" s="177"/>
      <c r="B749" s="177"/>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c r="AB749" s="177"/>
      <c r="AC749" s="177"/>
    </row>
    <row r="750">
      <c r="A750" s="177"/>
      <c r="B750" s="177"/>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c r="AB750" s="177"/>
      <c r="AC750" s="177"/>
    </row>
    <row r="751">
      <c r="A751" s="177"/>
      <c r="B751" s="177"/>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c r="AB751" s="177"/>
      <c r="AC751" s="177"/>
    </row>
    <row r="752">
      <c r="A752" s="177"/>
      <c r="B752" s="177"/>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c r="AB752" s="177"/>
      <c r="AC752" s="177"/>
    </row>
    <row r="753">
      <c r="A753" s="177"/>
      <c r="B753" s="177"/>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c r="AB753" s="177"/>
      <c r="AC753" s="177"/>
    </row>
    <row r="754">
      <c r="A754" s="177"/>
      <c r="B754" s="177"/>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c r="AB754" s="177"/>
      <c r="AC754" s="177"/>
    </row>
    <row r="755">
      <c r="A755" s="177"/>
      <c r="B755" s="177"/>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c r="AB755" s="177"/>
      <c r="AC755" s="177"/>
    </row>
    <row r="756">
      <c r="A756" s="177"/>
      <c r="B756" s="177"/>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c r="AB756" s="177"/>
      <c r="AC756" s="177"/>
    </row>
    <row r="757">
      <c r="A757" s="177"/>
      <c r="B757" s="177"/>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c r="AB757" s="177"/>
      <c r="AC757" s="177"/>
    </row>
    <row r="758">
      <c r="A758" s="177"/>
      <c r="B758" s="177"/>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c r="AB758" s="177"/>
      <c r="AC758" s="177"/>
    </row>
    <row r="759">
      <c r="A759" s="177"/>
      <c r="B759" s="177"/>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c r="AB759" s="177"/>
      <c r="AC759" s="177"/>
    </row>
    <row r="760">
      <c r="A760" s="177"/>
      <c r="B760" s="177"/>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c r="AB760" s="177"/>
      <c r="AC760" s="177"/>
    </row>
    <row r="761">
      <c r="A761" s="177"/>
      <c r="B761" s="177"/>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c r="AB761" s="177"/>
      <c r="AC761" s="177"/>
    </row>
    <row r="762">
      <c r="A762" s="177"/>
      <c r="B762" s="177"/>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c r="AB762" s="177"/>
      <c r="AC762" s="177"/>
    </row>
    <row r="763">
      <c r="A763" s="177"/>
      <c r="B763" s="177"/>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c r="AB763" s="177"/>
      <c r="AC763" s="177"/>
    </row>
    <row r="764">
      <c r="A764" s="177"/>
      <c r="B764" s="177"/>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c r="AB764" s="177"/>
      <c r="AC764" s="177"/>
    </row>
    <row r="765">
      <c r="A765" s="177"/>
      <c r="B765" s="177"/>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c r="AB765" s="177"/>
      <c r="AC765" s="177"/>
    </row>
    <row r="766">
      <c r="A766" s="177"/>
      <c r="B766" s="177"/>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c r="AB766" s="177"/>
      <c r="AC766" s="177"/>
    </row>
    <row r="767">
      <c r="A767" s="177"/>
      <c r="B767" s="177"/>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c r="AB767" s="177"/>
      <c r="AC767" s="177"/>
    </row>
    <row r="768">
      <c r="A768" s="177"/>
      <c r="B768" s="177"/>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c r="AB768" s="177"/>
      <c r="AC768" s="177"/>
    </row>
    <row r="769">
      <c r="A769" s="177"/>
      <c r="B769" s="177"/>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c r="AB769" s="177"/>
      <c r="AC769" s="177"/>
    </row>
    <row r="770">
      <c r="A770" s="177"/>
      <c r="B770" s="177"/>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c r="AB770" s="177"/>
      <c r="AC770" s="177"/>
    </row>
    <row r="771">
      <c r="A771" s="177"/>
      <c r="B771" s="177"/>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c r="AB771" s="177"/>
      <c r="AC771" s="177"/>
    </row>
    <row r="772">
      <c r="A772" s="177"/>
      <c r="B772" s="177"/>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c r="AB772" s="177"/>
      <c r="AC772" s="177"/>
    </row>
    <row r="773">
      <c r="A773" s="177"/>
      <c r="B773" s="177"/>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c r="AB773" s="177"/>
      <c r="AC773" s="177"/>
    </row>
    <row r="774">
      <c r="A774" s="177"/>
      <c r="B774" s="177"/>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c r="AB774" s="177"/>
      <c r="AC774" s="177"/>
    </row>
    <row r="775">
      <c r="A775" s="177"/>
      <c r="B775" s="177"/>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c r="AB775" s="177"/>
      <c r="AC775" s="177"/>
    </row>
    <row r="776">
      <c r="A776" s="177"/>
      <c r="B776" s="177"/>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c r="AB776" s="177"/>
      <c r="AC776" s="177"/>
    </row>
    <row r="777">
      <c r="A777" s="177"/>
      <c r="B777" s="177"/>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c r="AB777" s="177"/>
      <c r="AC777" s="177"/>
    </row>
    <row r="778">
      <c r="A778" s="177"/>
      <c r="B778" s="177"/>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c r="AB778" s="177"/>
      <c r="AC778" s="177"/>
    </row>
    <row r="779">
      <c r="A779" s="177"/>
      <c r="B779" s="177"/>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c r="AB779" s="177"/>
      <c r="AC779" s="177"/>
    </row>
    <row r="780">
      <c r="A780" s="177"/>
      <c r="B780" s="177"/>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c r="AB780" s="177"/>
      <c r="AC780" s="177"/>
    </row>
    <row r="781">
      <c r="A781" s="177"/>
      <c r="B781" s="177"/>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c r="AB781" s="177"/>
      <c r="AC781" s="177"/>
    </row>
    <row r="782">
      <c r="A782" s="177"/>
      <c r="B782" s="177"/>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c r="AB782" s="177"/>
      <c r="AC782" s="177"/>
    </row>
    <row r="783">
      <c r="A783" s="177"/>
      <c r="B783" s="177"/>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c r="AB783" s="177"/>
      <c r="AC783" s="177"/>
    </row>
    <row r="784">
      <c r="A784" s="177"/>
      <c r="B784" s="177"/>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c r="AB784" s="177"/>
      <c r="AC784" s="177"/>
    </row>
    <row r="785">
      <c r="A785" s="177"/>
      <c r="B785" s="177"/>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c r="AB785" s="177"/>
      <c r="AC785" s="177"/>
    </row>
    <row r="786">
      <c r="A786" s="177"/>
      <c r="B786" s="177"/>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c r="AB786" s="177"/>
      <c r="AC786" s="177"/>
    </row>
    <row r="787">
      <c r="A787" s="177"/>
      <c r="B787" s="177"/>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c r="AB787" s="177"/>
      <c r="AC787" s="177"/>
    </row>
    <row r="788">
      <c r="A788" s="177"/>
      <c r="B788" s="177"/>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c r="AB788" s="177"/>
      <c r="AC788" s="177"/>
    </row>
    <row r="789">
      <c r="A789" s="177"/>
      <c r="B789" s="177"/>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c r="AB789" s="177"/>
      <c r="AC789" s="177"/>
    </row>
    <row r="790">
      <c r="A790" s="177"/>
      <c r="B790" s="177"/>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c r="AB790" s="177"/>
      <c r="AC790" s="177"/>
    </row>
    <row r="791">
      <c r="A791" s="177"/>
      <c r="B791" s="177"/>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c r="AB791" s="177"/>
      <c r="AC791" s="177"/>
    </row>
    <row r="792">
      <c r="A792" s="177"/>
      <c r="B792" s="177"/>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c r="AB792" s="177"/>
      <c r="AC792" s="177"/>
    </row>
    <row r="793">
      <c r="A793" s="177"/>
      <c r="B793" s="177"/>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c r="AB793" s="177"/>
      <c r="AC793" s="177"/>
    </row>
    <row r="794">
      <c r="A794" s="177"/>
      <c r="B794" s="177"/>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c r="AB794" s="177"/>
      <c r="AC794" s="177"/>
    </row>
    <row r="795">
      <c r="A795" s="177"/>
      <c r="B795" s="177"/>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c r="AB795" s="177"/>
      <c r="AC795" s="177"/>
    </row>
    <row r="796">
      <c r="A796" s="177"/>
      <c r="B796" s="177"/>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c r="AB796" s="177"/>
      <c r="AC796" s="177"/>
    </row>
    <row r="797">
      <c r="A797" s="177"/>
      <c r="B797" s="177"/>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c r="AB797" s="177"/>
      <c r="AC797" s="177"/>
    </row>
    <row r="798">
      <c r="A798" s="177"/>
      <c r="B798" s="177"/>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c r="AB798" s="177"/>
      <c r="AC798" s="177"/>
    </row>
    <row r="799">
      <c r="A799" s="177"/>
      <c r="B799" s="177"/>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c r="AB799" s="177"/>
      <c r="AC799" s="177"/>
    </row>
    <row r="800">
      <c r="A800" s="177"/>
      <c r="B800" s="177"/>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c r="AB800" s="177"/>
      <c r="AC800" s="177"/>
    </row>
    <row r="801">
      <c r="A801" s="177"/>
      <c r="B801" s="177"/>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c r="AB801" s="177"/>
      <c r="AC801" s="177"/>
    </row>
    <row r="802">
      <c r="A802" s="177"/>
      <c r="B802" s="177"/>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c r="AB802" s="177"/>
      <c r="AC802" s="177"/>
    </row>
    <row r="803">
      <c r="A803" s="177"/>
      <c r="B803" s="177"/>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c r="AB803" s="177"/>
      <c r="AC803" s="177"/>
    </row>
    <row r="804">
      <c r="A804" s="177"/>
      <c r="B804" s="177"/>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c r="AB804" s="177"/>
      <c r="AC804" s="177"/>
    </row>
    <row r="805">
      <c r="A805" s="177"/>
      <c r="B805" s="177"/>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c r="AB805" s="177"/>
      <c r="AC805" s="177"/>
    </row>
    <row r="806">
      <c r="A806" s="177"/>
      <c r="B806" s="177"/>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c r="AB806" s="177"/>
      <c r="AC806" s="177"/>
    </row>
    <row r="807">
      <c r="A807" s="177"/>
      <c r="B807" s="177"/>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c r="AB807" s="177"/>
      <c r="AC807" s="177"/>
    </row>
    <row r="808">
      <c r="A808" s="177"/>
      <c r="B808" s="177"/>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c r="AB808" s="177"/>
      <c r="AC808" s="177"/>
    </row>
    <row r="809">
      <c r="A809" s="177"/>
      <c r="B809" s="177"/>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c r="AB809" s="177"/>
      <c r="AC809" s="177"/>
    </row>
    <row r="810">
      <c r="A810" s="177"/>
      <c r="B810" s="177"/>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c r="AB810" s="177"/>
      <c r="AC810" s="177"/>
    </row>
    <row r="811">
      <c r="A811" s="177"/>
      <c r="B811" s="177"/>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c r="AB811" s="177"/>
      <c r="AC811" s="177"/>
    </row>
    <row r="812">
      <c r="A812" s="177"/>
      <c r="B812" s="177"/>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c r="AB812" s="177"/>
      <c r="AC812" s="177"/>
    </row>
    <row r="813">
      <c r="A813" s="177"/>
      <c r="B813" s="177"/>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c r="AB813" s="177"/>
      <c r="AC813" s="177"/>
    </row>
    <row r="814">
      <c r="A814" s="177"/>
      <c r="B814" s="177"/>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c r="AB814" s="177"/>
      <c r="AC814" s="177"/>
    </row>
    <row r="815">
      <c r="A815" s="177"/>
      <c r="B815" s="177"/>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c r="AB815" s="177"/>
      <c r="AC815" s="177"/>
    </row>
    <row r="816">
      <c r="A816" s="177"/>
      <c r="B816" s="177"/>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c r="AB816" s="177"/>
      <c r="AC816" s="177"/>
    </row>
    <row r="817">
      <c r="A817" s="177"/>
      <c r="B817" s="177"/>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c r="AB817" s="177"/>
      <c r="AC817" s="177"/>
    </row>
    <row r="818">
      <c r="A818" s="177"/>
      <c r="B818" s="177"/>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c r="AB818" s="177"/>
      <c r="AC818" s="177"/>
    </row>
    <row r="819">
      <c r="A819" s="177"/>
      <c r="B819" s="177"/>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c r="AB819" s="177"/>
      <c r="AC819" s="177"/>
    </row>
    <row r="820">
      <c r="A820" s="177"/>
      <c r="B820" s="177"/>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c r="AB820" s="177"/>
      <c r="AC820" s="177"/>
    </row>
    <row r="821">
      <c r="A821" s="177"/>
      <c r="B821" s="177"/>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c r="AB821" s="177"/>
      <c r="AC821" s="177"/>
    </row>
    <row r="822">
      <c r="A822" s="177"/>
      <c r="B822" s="177"/>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c r="AB822" s="177"/>
      <c r="AC822" s="177"/>
    </row>
    <row r="823">
      <c r="A823" s="177"/>
      <c r="B823" s="177"/>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c r="AB823" s="177"/>
      <c r="AC823" s="177"/>
    </row>
    <row r="824">
      <c r="A824" s="177"/>
      <c r="B824" s="177"/>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c r="AB824" s="177"/>
      <c r="AC824" s="177"/>
    </row>
    <row r="825">
      <c r="A825" s="177"/>
      <c r="B825" s="177"/>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c r="AB825" s="177"/>
      <c r="AC825" s="177"/>
    </row>
    <row r="826">
      <c r="A826" s="177"/>
      <c r="B826" s="177"/>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c r="AB826" s="177"/>
      <c r="AC826" s="177"/>
    </row>
    <row r="827">
      <c r="A827" s="177"/>
      <c r="B827" s="177"/>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c r="AB827" s="177"/>
      <c r="AC827" s="177"/>
    </row>
    <row r="828">
      <c r="A828" s="177"/>
      <c r="B828" s="177"/>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c r="AB828" s="177"/>
      <c r="AC828" s="177"/>
    </row>
    <row r="829">
      <c r="A829" s="177"/>
      <c r="B829" s="177"/>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c r="AB829" s="177"/>
      <c r="AC829" s="177"/>
    </row>
    <row r="830">
      <c r="A830" s="177"/>
      <c r="B830" s="177"/>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c r="AB830" s="177"/>
      <c r="AC830" s="177"/>
    </row>
    <row r="831">
      <c r="A831" s="177"/>
      <c r="B831" s="177"/>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c r="AB831" s="177"/>
      <c r="AC831" s="177"/>
    </row>
    <row r="832">
      <c r="A832" s="177"/>
      <c r="B832" s="177"/>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c r="AB832" s="177"/>
      <c r="AC832" s="177"/>
    </row>
    <row r="833">
      <c r="A833" s="177"/>
      <c r="B833" s="177"/>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c r="AB833" s="177"/>
      <c r="AC833" s="177"/>
    </row>
    <row r="834">
      <c r="A834" s="177"/>
      <c r="B834" s="177"/>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c r="AB834" s="177"/>
      <c r="AC834" s="177"/>
    </row>
    <row r="835">
      <c r="A835" s="177"/>
      <c r="B835" s="177"/>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c r="AB835" s="177"/>
      <c r="AC835" s="177"/>
    </row>
    <row r="836">
      <c r="A836" s="177"/>
      <c r="B836" s="177"/>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c r="AB836" s="177"/>
      <c r="AC836" s="177"/>
    </row>
    <row r="837">
      <c r="A837" s="177"/>
      <c r="B837" s="177"/>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c r="AB837" s="177"/>
      <c r="AC837" s="177"/>
    </row>
    <row r="838">
      <c r="A838" s="177"/>
      <c r="B838" s="177"/>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c r="AB838" s="177"/>
      <c r="AC838" s="177"/>
    </row>
    <row r="839">
      <c r="A839" s="177"/>
      <c r="B839" s="177"/>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c r="AB839" s="177"/>
      <c r="AC839" s="177"/>
    </row>
    <row r="840">
      <c r="A840" s="177"/>
      <c r="B840" s="177"/>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c r="AB840" s="177"/>
      <c r="AC840" s="177"/>
    </row>
    <row r="841">
      <c r="A841" s="177"/>
      <c r="B841" s="177"/>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c r="AB841" s="177"/>
      <c r="AC841" s="177"/>
    </row>
    <row r="842">
      <c r="A842" s="177"/>
      <c r="B842" s="177"/>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c r="AB842" s="177"/>
      <c r="AC842" s="177"/>
    </row>
    <row r="843">
      <c r="A843" s="177"/>
      <c r="B843" s="177"/>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c r="AB843" s="177"/>
      <c r="AC843" s="177"/>
    </row>
    <row r="844">
      <c r="A844" s="177"/>
      <c r="B844" s="177"/>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c r="AB844" s="177"/>
      <c r="AC844" s="177"/>
    </row>
    <row r="845">
      <c r="A845" s="177"/>
      <c r="B845" s="177"/>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c r="AB845" s="177"/>
      <c r="AC845" s="177"/>
    </row>
    <row r="846">
      <c r="A846" s="177"/>
      <c r="B846" s="177"/>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c r="AB846" s="177"/>
      <c r="AC846" s="177"/>
    </row>
    <row r="847">
      <c r="A847" s="177"/>
      <c r="B847" s="177"/>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c r="AB847" s="177"/>
      <c r="AC847" s="177"/>
    </row>
    <row r="848">
      <c r="A848" s="177"/>
      <c r="B848" s="177"/>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c r="AB848" s="177"/>
      <c r="AC848" s="177"/>
    </row>
    <row r="849">
      <c r="A849" s="177"/>
      <c r="B849" s="177"/>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c r="AB849" s="177"/>
      <c r="AC849" s="177"/>
    </row>
    <row r="850">
      <c r="A850" s="177"/>
      <c r="B850" s="177"/>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c r="AB850" s="177"/>
      <c r="AC850" s="177"/>
    </row>
    <row r="851">
      <c r="A851" s="177"/>
      <c r="B851" s="177"/>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c r="AB851" s="177"/>
      <c r="AC851" s="177"/>
    </row>
    <row r="852">
      <c r="A852" s="177"/>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c r="AB852" s="177"/>
      <c r="AC852" s="177"/>
    </row>
    <row r="853">
      <c r="A853" s="177"/>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c r="AB853" s="177"/>
      <c r="AC853" s="177"/>
    </row>
    <row r="854">
      <c r="A854" s="177"/>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c r="AB854" s="177"/>
      <c r="AC854" s="177"/>
    </row>
    <row r="855">
      <c r="A855" s="177"/>
      <c r="B855" s="177"/>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c r="AB855" s="177"/>
      <c r="AC855" s="177"/>
    </row>
    <row r="856">
      <c r="A856" s="177"/>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c r="AB856" s="177"/>
      <c r="AC856" s="177"/>
    </row>
    <row r="857">
      <c r="A857" s="177"/>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c r="AB857" s="177"/>
      <c r="AC857" s="177"/>
    </row>
    <row r="858">
      <c r="A858" s="177"/>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c r="AB858" s="177"/>
      <c r="AC858" s="177"/>
    </row>
    <row r="859">
      <c r="A859" s="177"/>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c r="AB859" s="177"/>
      <c r="AC859" s="177"/>
    </row>
    <row r="860">
      <c r="A860" s="177"/>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c r="AB860" s="177"/>
      <c r="AC860" s="177"/>
    </row>
    <row r="861">
      <c r="A861" s="177"/>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c r="AB861" s="177"/>
      <c r="AC861" s="177"/>
    </row>
    <row r="862">
      <c r="A862" s="177"/>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c r="AB862" s="177"/>
      <c r="AC862" s="177"/>
    </row>
    <row r="863">
      <c r="A863" s="177"/>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c r="AB863" s="177"/>
      <c r="AC863" s="177"/>
    </row>
    <row r="864">
      <c r="A864" s="177"/>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c r="AB864" s="177"/>
      <c r="AC864" s="177"/>
    </row>
    <row r="865">
      <c r="A865" s="177"/>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c r="AB865" s="177"/>
      <c r="AC865" s="177"/>
    </row>
    <row r="866">
      <c r="A866" s="177"/>
      <c r="B866" s="177"/>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c r="AB866" s="177"/>
      <c r="AC866" s="177"/>
    </row>
    <row r="867">
      <c r="A867" s="177"/>
      <c r="B867" s="177"/>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c r="AB867" s="177"/>
      <c r="AC867" s="177"/>
    </row>
    <row r="868">
      <c r="A868" s="177"/>
      <c r="B868" s="177"/>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c r="AB868" s="177"/>
      <c r="AC868" s="177"/>
    </row>
    <row r="869">
      <c r="A869" s="177"/>
      <c r="B869" s="177"/>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c r="AB869" s="177"/>
      <c r="AC869" s="177"/>
    </row>
    <row r="870">
      <c r="A870" s="177"/>
      <c r="B870" s="177"/>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c r="AB870" s="177"/>
      <c r="AC870" s="177"/>
    </row>
    <row r="871">
      <c r="A871" s="177"/>
      <c r="B871" s="177"/>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c r="AB871" s="177"/>
      <c r="AC871" s="177"/>
    </row>
    <row r="872">
      <c r="A872" s="177"/>
      <c r="B872" s="177"/>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c r="AB872" s="177"/>
      <c r="AC872" s="177"/>
    </row>
    <row r="873">
      <c r="A873" s="177"/>
      <c r="B873" s="177"/>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c r="AB873" s="177"/>
      <c r="AC873" s="177"/>
    </row>
    <row r="874">
      <c r="A874" s="177"/>
      <c r="B874" s="177"/>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c r="AB874" s="177"/>
      <c r="AC874" s="177"/>
    </row>
    <row r="875">
      <c r="A875" s="177"/>
      <c r="B875" s="177"/>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c r="AB875" s="177"/>
      <c r="AC875" s="177"/>
    </row>
    <row r="876">
      <c r="A876" s="177"/>
      <c r="B876" s="177"/>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c r="AB876" s="177"/>
      <c r="AC876" s="177"/>
    </row>
    <row r="877">
      <c r="A877" s="177"/>
      <c r="B877" s="177"/>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c r="AB877" s="177"/>
      <c r="AC877" s="177"/>
    </row>
    <row r="878">
      <c r="A878" s="177"/>
      <c r="B878" s="177"/>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c r="AB878" s="177"/>
      <c r="AC878" s="177"/>
    </row>
    <row r="879">
      <c r="A879" s="177"/>
      <c r="B879" s="177"/>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c r="AB879" s="177"/>
      <c r="AC879" s="177"/>
    </row>
    <row r="880">
      <c r="A880" s="177"/>
      <c r="B880" s="177"/>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c r="AB880" s="177"/>
      <c r="AC880" s="177"/>
    </row>
    <row r="881">
      <c r="A881" s="177"/>
      <c r="B881" s="177"/>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c r="AB881" s="177"/>
      <c r="AC881" s="177"/>
    </row>
    <row r="882">
      <c r="A882" s="177"/>
      <c r="B882" s="177"/>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c r="AB882" s="177"/>
      <c r="AC882" s="177"/>
    </row>
    <row r="883">
      <c r="A883" s="177"/>
      <c r="B883" s="177"/>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c r="AB883" s="177"/>
      <c r="AC883" s="177"/>
    </row>
    <row r="884">
      <c r="A884" s="177"/>
      <c r="B884" s="177"/>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c r="AB884" s="177"/>
      <c r="AC884" s="177"/>
    </row>
    <row r="885">
      <c r="A885" s="177"/>
      <c r="B885" s="177"/>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c r="AB885" s="177"/>
      <c r="AC885" s="177"/>
    </row>
    <row r="886">
      <c r="A886" s="177"/>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row>
    <row r="887">
      <c r="A887" s="177"/>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row>
    <row r="888">
      <c r="A888" s="177"/>
      <c r="B888" s="177"/>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c r="AB888" s="177"/>
      <c r="AC888" s="177"/>
    </row>
    <row r="889">
      <c r="A889" s="177"/>
      <c r="B889" s="177"/>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c r="AB889" s="177"/>
      <c r="AC889" s="177"/>
    </row>
    <row r="890">
      <c r="A890" s="177"/>
      <c r="B890" s="177"/>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c r="AB890" s="177"/>
      <c r="AC890" s="177"/>
    </row>
    <row r="891">
      <c r="A891" s="177"/>
      <c r="B891" s="177"/>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c r="AB891" s="177"/>
      <c r="AC891" s="177"/>
    </row>
    <row r="892">
      <c r="A892" s="177"/>
      <c r="B892" s="177"/>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c r="AB892" s="177"/>
      <c r="AC892" s="177"/>
    </row>
    <row r="893">
      <c r="A893" s="177"/>
      <c r="B893" s="177"/>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c r="AB893" s="177"/>
      <c r="AC893" s="177"/>
    </row>
    <row r="894">
      <c r="A894" s="177"/>
      <c r="B894" s="177"/>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c r="AB894" s="177"/>
      <c r="AC894" s="177"/>
    </row>
    <row r="895">
      <c r="A895" s="177"/>
      <c r="B895" s="177"/>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c r="AB895" s="177"/>
      <c r="AC895" s="177"/>
    </row>
    <row r="896">
      <c r="A896" s="177"/>
      <c r="B896" s="177"/>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c r="AB896" s="177"/>
      <c r="AC896" s="177"/>
    </row>
    <row r="897">
      <c r="A897" s="177"/>
      <c r="B897" s="177"/>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c r="AB897" s="177"/>
      <c r="AC897" s="177"/>
    </row>
    <row r="898">
      <c r="A898" s="177"/>
      <c r="B898" s="177"/>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c r="AB898" s="177"/>
      <c r="AC898" s="177"/>
    </row>
    <row r="899">
      <c r="A899" s="177"/>
      <c r="B899" s="177"/>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c r="AB899" s="177"/>
      <c r="AC899" s="177"/>
    </row>
    <row r="900">
      <c r="A900" s="177"/>
      <c r="B900" s="177"/>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c r="AB900" s="177"/>
      <c r="AC900" s="177"/>
    </row>
    <row r="901">
      <c r="A901" s="177"/>
      <c r="B901" s="177"/>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c r="AB901" s="177"/>
      <c r="AC901" s="177"/>
    </row>
    <row r="902">
      <c r="A902" s="177"/>
      <c r="B902" s="177"/>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c r="AB902" s="177"/>
      <c r="AC902" s="177"/>
    </row>
    <row r="903">
      <c r="A903" s="177"/>
      <c r="B903" s="177"/>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c r="AB903" s="177"/>
      <c r="AC903" s="177"/>
    </row>
    <row r="904">
      <c r="A904" s="177"/>
      <c r="B904" s="177"/>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c r="AB904" s="177"/>
      <c r="AC904" s="177"/>
    </row>
    <row r="905">
      <c r="A905" s="177"/>
      <c r="B905" s="177"/>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c r="AB905" s="177"/>
      <c r="AC905" s="177"/>
    </row>
    <row r="906">
      <c r="A906" s="177"/>
      <c r="B906" s="177"/>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c r="AB906" s="177"/>
      <c r="AC906" s="177"/>
    </row>
    <row r="907">
      <c r="A907" s="177"/>
      <c r="B907" s="177"/>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c r="AB907" s="177"/>
      <c r="AC907" s="177"/>
    </row>
    <row r="908">
      <c r="A908" s="177"/>
      <c r="B908" s="177"/>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c r="AB908" s="177"/>
      <c r="AC908" s="177"/>
    </row>
    <row r="909">
      <c r="A909" s="177"/>
      <c r="B909" s="177"/>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c r="AB909" s="177"/>
      <c r="AC909" s="177"/>
    </row>
    <row r="910">
      <c r="A910" s="177"/>
      <c r="B910" s="177"/>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c r="AB910" s="177"/>
      <c r="AC910" s="177"/>
    </row>
    <row r="911">
      <c r="A911" s="177"/>
      <c r="B911" s="177"/>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c r="AB911" s="177"/>
      <c r="AC911" s="177"/>
    </row>
    <row r="912">
      <c r="A912" s="177"/>
      <c r="B912" s="177"/>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c r="AB912" s="177"/>
      <c r="AC912" s="177"/>
    </row>
    <row r="913">
      <c r="A913" s="177"/>
      <c r="B913" s="177"/>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c r="AB913" s="177"/>
      <c r="AC913" s="177"/>
    </row>
    <row r="914">
      <c r="A914" s="177"/>
      <c r="B914" s="177"/>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c r="AB914" s="177"/>
      <c r="AC914" s="177"/>
    </row>
    <row r="915">
      <c r="A915" s="177"/>
      <c r="B915" s="177"/>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c r="AB915" s="177"/>
      <c r="AC915" s="177"/>
    </row>
    <row r="916">
      <c r="A916" s="177"/>
      <c r="B916" s="177"/>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c r="AB916" s="177"/>
      <c r="AC916" s="177"/>
    </row>
    <row r="917">
      <c r="A917" s="177"/>
      <c r="B917" s="177"/>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c r="AB917" s="177"/>
      <c r="AC917" s="177"/>
    </row>
    <row r="918">
      <c r="A918" s="177"/>
      <c r="B918" s="177"/>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c r="AB918" s="177"/>
      <c r="AC918" s="177"/>
    </row>
    <row r="919">
      <c r="A919" s="177"/>
      <c r="B919" s="177"/>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c r="AB919" s="177"/>
      <c r="AC919" s="177"/>
    </row>
    <row r="920">
      <c r="A920" s="177"/>
      <c r="B920" s="177"/>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c r="AB920" s="177"/>
      <c r="AC920" s="177"/>
    </row>
    <row r="921">
      <c r="A921" s="177"/>
      <c r="B921" s="177"/>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c r="AB921" s="177"/>
      <c r="AC921" s="177"/>
    </row>
    <row r="922">
      <c r="A922" s="177"/>
      <c r="B922" s="177"/>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c r="AB922" s="177"/>
      <c r="AC922" s="177"/>
    </row>
    <row r="923">
      <c r="A923" s="177"/>
      <c r="B923" s="177"/>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c r="AB923" s="177"/>
      <c r="AC923" s="177"/>
    </row>
    <row r="924">
      <c r="A924" s="177"/>
      <c r="B924" s="177"/>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c r="AB924" s="177"/>
      <c r="AC924" s="177"/>
    </row>
    <row r="925">
      <c r="A925" s="177"/>
      <c r="B925" s="177"/>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c r="AB925" s="177"/>
      <c r="AC925" s="177"/>
    </row>
    <row r="926">
      <c r="A926" s="177"/>
      <c r="B926" s="177"/>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c r="AB926" s="177"/>
      <c r="AC926" s="177"/>
    </row>
    <row r="927">
      <c r="A927" s="177"/>
      <c r="B927" s="177"/>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c r="AB927" s="177"/>
      <c r="AC927" s="177"/>
    </row>
    <row r="928">
      <c r="A928" s="177"/>
      <c r="B928" s="177"/>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c r="AB928" s="177"/>
      <c r="AC928" s="177"/>
    </row>
    <row r="929">
      <c r="A929" s="177"/>
      <c r="B929" s="177"/>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c r="AB929" s="177"/>
      <c r="AC929" s="177"/>
    </row>
    <row r="930">
      <c r="A930" s="177"/>
      <c r="B930" s="177"/>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c r="AB930" s="177"/>
      <c r="AC930" s="177"/>
    </row>
    <row r="931">
      <c r="A931" s="177"/>
      <c r="B931" s="177"/>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c r="AB931" s="177"/>
      <c r="AC931" s="177"/>
    </row>
    <row r="932">
      <c r="A932" s="177"/>
      <c r="B932" s="177"/>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c r="AB932" s="177"/>
      <c r="AC932" s="177"/>
    </row>
    <row r="933">
      <c r="A933" s="177"/>
      <c r="B933" s="177"/>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c r="AB933" s="177"/>
      <c r="AC933" s="177"/>
    </row>
    <row r="934">
      <c r="A934" s="177"/>
      <c r="B934" s="177"/>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c r="AB934" s="177"/>
      <c r="AC934" s="177"/>
    </row>
    <row r="935">
      <c r="A935" s="177"/>
      <c r="B935" s="177"/>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c r="AB935" s="177"/>
      <c r="AC935" s="177"/>
    </row>
    <row r="936">
      <c r="A936" s="177"/>
      <c r="B936" s="177"/>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c r="AB936" s="177"/>
      <c r="AC936" s="177"/>
    </row>
    <row r="937">
      <c r="A937" s="177"/>
      <c r="B937" s="177"/>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c r="AB937" s="177"/>
      <c r="AC937" s="177"/>
    </row>
    <row r="938">
      <c r="A938" s="177"/>
      <c r="B938" s="177"/>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c r="AB938" s="177"/>
      <c r="AC938" s="177"/>
    </row>
    <row r="939">
      <c r="A939" s="177"/>
      <c r="B939" s="177"/>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c r="AB939" s="177"/>
      <c r="AC939" s="177"/>
    </row>
    <row r="940">
      <c r="A940" s="177"/>
      <c r="B940" s="177"/>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c r="AB940" s="177"/>
      <c r="AC940" s="177"/>
    </row>
    <row r="941">
      <c r="A941" s="177"/>
      <c r="B941" s="177"/>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c r="AB941" s="177"/>
      <c r="AC941" s="177"/>
    </row>
    <row r="942">
      <c r="A942" s="177"/>
      <c r="B942" s="177"/>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c r="AB942" s="177"/>
      <c r="AC942" s="177"/>
    </row>
    <row r="943">
      <c r="A943" s="177"/>
      <c r="B943" s="177"/>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c r="AB943" s="177"/>
      <c r="AC943" s="177"/>
    </row>
    <row r="944">
      <c r="A944" s="177"/>
      <c r="B944" s="177"/>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c r="AB944" s="177"/>
      <c r="AC944" s="177"/>
    </row>
    <row r="945">
      <c r="A945" s="177"/>
      <c r="B945" s="177"/>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c r="AB945" s="177"/>
      <c r="AC945" s="177"/>
    </row>
    <row r="946">
      <c r="A946" s="177"/>
      <c r="B946" s="177"/>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c r="AB946" s="177"/>
      <c r="AC946" s="177"/>
    </row>
    <row r="947">
      <c r="A947" s="177"/>
      <c r="B947" s="177"/>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c r="AB947" s="177"/>
      <c r="AC947" s="177"/>
    </row>
    <row r="948">
      <c r="A948" s="177"/>
      <c r="B948" s="177"/>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c r="AB948" s="177"/>
      <c r="AC948" s="177"/>
    </row>
    <row r="949">
      <c r="A949" s="177"/>
      <c r="B949" s="177"/>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c r="AB949" s="177"/>
      <c r="AC949" s="177"/>
    </row>
    <row r="950">
      <c r="A950" s="177"/>
      <c r="B950" s="177"/>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c r="AB950" s="177"/>
      <c r="AC950" s="177"/>
    </row>
    <row r="951">
      <c r="A951" s="177"/>
      <c r="B951" s="177"/>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c r="AB951" s="177"/>
      <c r="AC951" s="177"/>
    </row>
    <row r="952">
      <c r="A952" s="177"/>
      <c r="B952" s="177"/>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c r="AB952" s="177"/>
      <c r="AC952" s="177"/>
    </row>
    <row r="953">
      <c r="A953" s="177"/>
      <c r="B953" s="177"/>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c r="AB953" s="177"/>
      <c r="AC953" s="177"/>
    </row>
    <row r="954">
      <c r="A954" s="177"/>
      <c r="B954" s="177"/>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c r="AB954" s="177"/>
      <c r="AC954" s="177"/>
    </row>
    <row r="955">
      <c r="A955" s="177"/>
      <c r="B955" s="177"/>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c r="AB955" s="177"/>
      <c r="AC955" s="177"/>
    </row>
    <row r="956">
      <c r="A956" s="177"/>
      <c r="B956" s="177"/>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c r="AB956" s="177"/>
      <c r="AC956" s="177"/>
    </row>
    <row r="957">
      <c r="A957" s="177"/>
      <c r="B957" s="177"/>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c r="AB957" s="177"/>
      <c r="AC957" s="177"/>
    </row>
    <row r="958">
      <c r="A958" s="177"/>
      <c r="B958" s="177"/>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c r="AB958" s="177"/>
      <c r="AC958" s="177"/>
    </row>
    <row r="959">
      <c r="A959" s="177"/>
      <c r="B959" s="177"/>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c r="AB959" s="177"/>
      <c r="AC959" s="177"/>
    </row>
    <row r="960">
      <c r="A960" s="177"/>
      <c r="B960" s="177"/>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c r="AB960" s="177"/>
      <c r="AC960" s="177"/>
    </row>
    <row r="961">
      <c r="A961" s="177"/>
      <c r="B961" s="177"/>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c r="AB961" s="177"/>
      <c r="AC961" s="177"/>
    </row>
    <row r="962">
      <c r="A962" s="177"/>
      <c r="B962" s="177"/>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c r="AB962" s="177"/>
      <c r="AC962" s="177"/>
    </row>
    <row r="963">
      <c r="A963" s="177"/>
      <c r="B963" s="177"/>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c r="AB963" s="177"/>
      <c r="AC963" s="177"/>
    </row>
    <row r="964">
      <c r="A964" s="177"/>
      <c r="B964" s="177"/>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c r="AB964" s="177"/>
      <c r="AC964" s="177"/>
    </row>
    <row r="965">
      <c r="A965" s="177"/>
      <c r="B965" s="177"/>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c r="AB965" s="177"/>
      <c r="AC965" s="177"/>
    </row>
    <row r="966">
      <c r="A966" s="177"/>
      <c r="B966" s="177"/>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c r="AB966" s="177"/>
      <c r="AC966" s="177"/>
    </row>
    <row r="967">
      <c r="A967" s="177"/>
      <c r="B967" s="177"/>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c r="AB967" s="177"/>
      <c r="AC967" s="177"/>
    </row>
    <row r="968">
      <c r="A968" s="177"/>
      <c r="B968" s="177"/>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c r="AB968" s="177"/>
      <c r="AC968" s="177"/>
    </row>
    <row r="969">
      <c r="A969" s="177"/>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row>
    <row r="970">
      <c r="A970" s="177"/>
      <c r="B970" s="177"/>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c r="AB970" s="177"/>
      <c r="AC970" s="177"/>
    </row>
    <row r="971">
      <c r="A971" s="177"/>
      <c r="B971" s="177"/>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c r="AB971" s="177"/>
      <c r="AC971" s="177"/>
    </row>
    <row r="972">
      <c r="A972" s="177"/>
      <c r="B972" s="177"/>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c r="AB972" s="177"/>
      <c r="AC972" s="177"/>
    </row>
    <row r="973">
      <c r="A973" s="177"/>
      <c r="B973" s="177"/>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c r="AB973" s="177"/>
      <c r="AC973" s="177"/>
    </row>
    <row r="974">
      <c r="A974" s="177"/>
      <c r="B974" s="177"/>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c r="AB974" s="177"/>
      <c r="AC974" s="177"/>
    </row>
    <row r="975">
      <c r="A975" s="177"/>
      <c r="B975" s="177"/>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c r="AB975" s="177"/>
      <c r="AC975" s="177"/>
    </row>
    <row r="976">
      <c r="A976" s="177"/>
      <c r="B976" s="177"/>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c r="AB976" s="177"/>
      <c r="AC976" s="177"/>
    </row>
    <row r="977">
      <c r="A977" s="177"/>
      <c r="B977" s="177"/>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c r="AB977" s="177"/>
      <c r="AC977" s="177"/>
    </row>
    <row r="978">
      <c r="A978" s="177"/>
      <c r="B978" s="177"/>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c r="AB978" s="177"/>
      <c r="AC978" s="177"/>
    </row>
    <row r="979">
      <c r="A979" s="177"/>
      <c r="B979" s="177"/>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c r="AB979" s="177"/>
      <c r="AC979" s="177"/>
    </row>
    <row r="980">
      <c r="A980" s="177"/>
      <c r="B980" s="177"/>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c r="AB980" s="177"/>
      <c r="AC980" s="177"/>
    </row>
    <row r="981">
      <c r="A981" s="177"/>
      <c r="B981" s="177"/>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c r="AB981" s="177"/>
      <c r="AC981" s="177"/>
    </row>
    <row r="982">
      <c r="A982" s="177"/>
      <c r="B982" s="177"/>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c r="AB982" s="177"/>
      <c r="AC982" s="177"/>
    </row>
    <row r="983">
      <c r="A983" s="177"/>
      <c r="B983" s="177"/>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c r="AB983" s="177"/>
      <c r="AC983" s="177"/>
    </row>
    <row r="984">
      <c r="A984" s="177"/>
      <c r="B984" s="177"/>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c r="AB984" s="177"/>
      <c r="AC984" s="177"/>
    </row>
    <row r="985">
      <c r="A985" s="177"/>
      <c r="B985" s="177"/>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c r="AB985" s="177"/>
      <c r="AC985" s="177"/>
    </row>
    <row r="986">
      <c r="A986" s="177"/>
      <c r="B986" s="177"/>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c r="AB986" s="177"/>
      <c r="AC986" s="177"/>
    </row>
    <row r="987">
      <c r="A987" s="177"/>
      <c r="B987" s="177"/>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c r="AB987" s="177"/>
      <c r="AC987" s="177"/>
    </row>
    <row r="988">
      <c r="A988" s="177"/>
      <c r="B988" s="177"/>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c r="AB988" s="177"/>
      <c r="AC988" s="177"/>
    </row>
    <row r="989">
      <c r="A989" s="177"/>
      <c r="B989" s="177"/>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c r="AB989" s="177"/>
      <c r="AC989" s="177"/>
    </row>
    <row r="990">
      <c r="A990" s="177"/>
      <c r="B990" s="177"/>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c r="AB990" s="177"/>
      <c r="AC990" s="177"/>
    </row>
    <row r="991">
      <c r="A991" s="177"/>
      <c r="B991" s="177"/>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c r="AB991" s="177"/>
      <c r="AC991" s="177"/>
    </row>
    <row r="992">
      <c r="A992" s="177"/>
      <c r="B992" s="177"/>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c r="AB992" s="177"/>
      <c r="AC992" s="177"/>
    </row>
    <row r="993">
      <c r="A993" s="177"/>
      <c r="B993" s="177"/>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c r="AB993" s="177"/>
      <c r="AC993" s="177"/>
    </row>
    <row r="994">
      <c r="A994" s="177"/>
      <c r="B994" s="177"/>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c r="AB994" s="177"/>
      <c r="AC994" s="177"/>
    </row>
    <row r="995">
      <c r="A995" s="177"/>
      <c r="B995" s="177"/>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c r="AB995" s="177"/>
      <c r="AC995" s="177"/>
    </row>
    <row r="996">
      <c r="A996" s="177"/>
      <c r="B996" s="177"/>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c r="AB996" s="177"/>
      <c r="AC996" s="177"/>
    </row>
    <row r="997">
      <c r="A997" s="177"/>
      <c r="B997" s="177"/>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c r="AB997" s="177"/>
      <c r="AC997" s="177"/>
    </row>
    <row r="998">
      <c r="A998" s="177"/>
      <c r="B998" s="177"/>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c r="AB998" s="177"/>
      <c r="AC998" s="177"/>
    </row>
    <row r="999">
      <c r="A999" s="177"/>
      <c r="B999" s="177"/>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c r="AB999" s="177"/>
      <c r="AC999" s="177"/>
    </row>
    <row r="1000">
      <c r="A1000" s="177"/>
      <c r="B1000" s="177"/>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c r="AB1000" s="177"/>
      <c r="AC1000" s="177"/>
    </row>
    <row r="1001">
      <c r="A1001" s="177"/>
      <c r="B1001" s="177"/>
      <c r="C1001" s="177"/>
      <c r="D1001" s="177"/>
      <c r="E1001" s="177"/>
      <c r="F1001" s="177"/>
      <c r="G1001" s="177"/>
      <c r="H1001" s="177"/>
      <c r="I1001" s="177"/>
      <c r="J1001" s="177"/>
      <c r="K1001" s="177"/>
      <c r="L1001" s="177"/>
      <c r="M1001" s="177"/>
      <c r="N1001" s="177"/>
      <c r="O1001" s="177"/>
      <c r="P1001" s="177"/>
      <c r="Q1001" s="177"/>
      <c r="R1001" s="177"/>
      <c r="S1001" s="177"/>
      <c r="T1001" s="177"/>
      <c r="U1001" s="177"/>
      <c r="V1001" s="177"/>
      <c r="W1001" s="177"/>
      <c r="X1001" s="177"/>
      <c r="Y1001" s="177"/>
      <c r="Z1001" s="177"/>
      <c r="AA1001" s="177"/>
      <c r="AB1001" s="177"/>
      <c r="AC1001" s="177"/>
    </row>
    <row r="1002">
      <c r="A1002" s="177"/>
      <c r="B1002" s="177"/>
      <c r="C1002" s="177"/>
      <c r="D1002" s="177"/>
      <c r="E1002" s="177"/>
      <c r="F1002" s="177"/>
      <c r="G1002" s="177"/>
      <c r="H1002" s="177"/>
      <c r="I1002" s="177"/>
      <c r="J1002" s="177"/>
      <c r="K1002" s="177"/>
      <c r="L1002" s="177"/>
      <c r="M1002" s="177"/>
      <c r="N1002" s="177"/>
      <c r="O1002" s="177"/>
      <c r="P1002" s="177"/>
      <c r="Q1002" s="177"/>
      <c r="R1002" s="177"/>
      <c r="S1002" s="177"/>
      <c r="T1002" s="177"/>
      <c r="U1002" s="177"/>
      <c r="V1002" s="177"/>
      <c r="W1002" s="177"/>
      <c r="X1002" s="177"/>
      <c r="Y1002" s="177"/>
      <c r="Z1002" s="177"/>
      <c r="AA1002" s="177"/>
      <c r="AB1002" s="177"/>
      <c r="AC1002" s="177"/>
    </row>
    <row r="1003">
      <c r="A1003" s="177"/>
      <c r="B1003" s="177"/>
      <c r="C1003" s="177"/>
      <c r="D1003" s="177"/>
      <c r="E1003" s="177"/>
      <c r="F1003" s="177"/>
      <c r="G1003" s="177"/>
      <c r="H1003" s="177"/>
      <c r="I1003" s="177"/>
      <c r="J1003" s="177"/>
      <c r="K1003" s="177"/>
      <c r="L1003" s="177"/>
      <c r="M1003" s="177"/>
      <c r="N1003" s="177"/>
      <c r="O1003" s="177"/>
      <c r="P1003" s="177"/>
      <c r="Q1003" s="177"/>
      <c r="R1003" s="177"/>
      <c r="S1003" s="177"/>
      <c r="T1003" s="177"/>
      <c r="U1003" s="177"/>
      <c r="V1003" s="177"/>
      <c r="W1003" s="177"/>
      <c r="X1003" s="177"/>
      <c r="Y1003" s="177"/>
      <c r="Z1003" s="177"/>
      <c r="AA1003" s="177"/>
      <c r="AB1003" s="177"/>
      <c r="AC1003" s="177"/>
    </row>
    <row r="1004">
      <c r="A1004" s="177"/>
      <c r="B1004" s="177"/>
      <c r="C1004" s="177"/>
      <c r="D1004" s="177"/>
      <c r="E1004" s="177"/>
      <c r="F1004" s="177"/>
      <c r="G1004" s="177"/>
      <c r="H1004" s="177"/>
      <c r="I1004" s="177"/>
      <c r="J1004" s="177"/>
      <c r="K1004" s="177"/>
      <c r="L1004" s="177"/>
      <c r="M1004" s="177"/>
      <c r="N1004" s="177"/>
      <c r="O1004" s="177"/>
      <c r="P1004" s="177"/>
      <c r="Q1004" s="177"/>
      <c r="R1004" s="177"/>
      <c r="S1004" s="177"/>
      <c r="T1004" s="177"/>
      <c r="U1004" s="177"/>
      <c r="V1004" s="177"/>
      <c r="W1004" s="177"/>
      <c r="X1004" s="177"/>
      <c r="Y1004" s="177"/>
      <c r="Z1004" s="177"/>
      <c r="AA1004" s="177"/>
      <c r="AB1004" s="177"/>
      <c r="AC1004" s="177"/>
    </row>
    <row r="1005">
      <c r="A1005" s="177"/>
      <c r="B1005" s="177"/>
      <c r="C1005" s="177"/>
      <c r="D1005" s="177"/>
      <c r="E1005" s="177"/>
      <c r="F1005" s="177"/>
      <c r="G1005" s="177"/>
      <c r="H1005" s="177"/>
      <c r="I1005" s="177"/>
      <c r="J1005" s="177"/>
      <c r="K1005" s="177"/>
      <c r="L1005" s="177"/>
      <c r="M1005" s="177"/>
      <c r="N1005" s="177"/>
      <c r="O1005" s="177"/>
      <c r="P1005" s="177"/>
      <c r="Q1005" s="177"/>
      <c r="R1005" s="177"/>
      <c r="S1005" s="177"/>
      <c r="T1005" s="177"/>
      <c r="U1005" s="177"/>
      <c r="V1005" s="177"/>
      <c r="W1005" s="177"/>
      <c r="X1005" s="177"/>
      <c r="Y1005" s="177"/>
      <c r="Z1005" s="177"/>
      <c r="AA1005" s="177"/>
      <c r="AB1005" s="177"/>
      <c r="AC1005" s="177"/>
    </row>
    <row r="1006">
      <c r="A1006" s="177"/>
      <c r="B1006" s="177"/>
      <c r="C1006" s="177"/>
      <c r="D1006" s="177"/>
      <c r="E1006" s="177"/>
      <c r="F1006" s="177"/>
      <c r="G1006" s="177"/>
      <c r="H1006" s="177"/>
      <c r="I1006" s="177"/>
      <c r="J1006" s="177"/>
      <c r="K1006" s="177"/>
      <c r="L1006" s="177"/>
      <c r="M1006" s="177"/>
      <c r="N1006" s="177"/>
      <c r="O1006" s="177"/>
      <c r="P1006" s="177"/>
      <c r="Q1006" s="177"/>
      <c r="R1006" s="177"/>
      <c r="S1006" s="177"/>
      <c r="T1006" s="177"/>
      <c r="U1006" s="177"/>
      <c r="V1006" s="177"/>
      <c r="W1006" s="177"/>
      <c r="X1006" s="177"/>
      <c r="Y1006" s="177"/>
      <c r="Z1006" s="177"/>
      <c r="AA1006" s="177"/>
      <c r="AB1006" s="177"/>
      <c r="AC1006" s="177"/>
    </row>
    <row r="1007">
      <c r="A1007" s="177"/>
      <c r="B1007" s="177"/>
      <c r="C1007" s="177"/>
      <c r="D1007" s="177"/>
      <c r="E1007" s="177"/>
      <c r="F1007" s="177"/>
      <c r="G1007" s="177"/>
      <c r="H1007" s="177"/>
      <c r="I1007" s="177"/>
      <c r="J1007" s="177"/>
      <c r="K1007" s="177"/>
      <c r="L1007" s="177"/>
      <c r="M1007" s="177"/>
      <c r="N1007" s="177"/>
      <c r="O1007" s="177"/>
      <c r="P1007" s="177"/>
      <c r="Q1007" s="177"/>
      <c r="R1007" s="177"/>
      <c r="S1007" s="177"/>
      <c r="T1007" s="177"/>
      <c r="U1007" s="177"/>
      <c r="V1007" s="177"/>
      <c r="W1007" s="177"/>
      <c r="X1007" s="177"/>
      <c r="Y1007" s="177"/>
      <c r="Z1007" s="177"/>
      <c r="AA1007" s="177"/>
      <c r="AB1007" s="177"/>
      <c r="AC1007" s="177"/>
    </row>
    <row r="1008">
      <c r="A1008" s="177"/>
      <c r="B1008" s="177"/>
      <c r="C1008" s="177"/>
      <c r="D1008" s="177"/>
      <c r="E1008" s="177"/>
      <c r="F1008" s="177"/>
      <c r="G1008" s="177"/>
      <c r="H1008" s="177"/>
      <c r="I1008" s="177"/>
      <c r="J1008" s="177"/>
      <c r="K1008" s="177"/>
      <c r="L1008" s="177"/>
      <c r="M1008" s="177"/>
      <c r="N1008" s="177"/>
      <c r="O1008" s="177"/>
      <c r="P1008" s="177"/>
      <c r="Q1008" s="177"/>
      <c r="R1008" s="177"/>
      <c r="S1008" s="177"/>
      <c r="T1008" s="177"/>
      <c r="U1008" s="177"/>
      <c r="V1008" s="177"/>
      <c r="W1008" s="177"/>
      <c r="X1008" s="177"/>
      <c r="Y1008" s="177"/>
      <c r="Z1008" s="177"/>
      <c r="AA1008" s="177"/>
      <c r="AB1008" s="177"/>
      <c r="AC1008" s="177"/>
    </row>
    <row r="1009">
      <c r="A1009" s="177"/>
      <c r="B1009" s="177"/>
      <c r="C1009" s="177"/>
      <c r="D1009" s="177"/>
      <c r="E1009" s="177"/>
      <c r="F1009" s="177"/>
      <c r="G1009" s="177"/>
      <c r="H1009" s="177"/>
      <c r="I1009" s="177"/>
      <c r="J1009" s="177"/>
      <c r="K1009" s="177"/>
      <c r="L1009" s="177"/>
      <c r="M1009" s="177"/>
      <c r="N1009" s="177"/>
      <c r="O1009" s="177"/>
      <c r="P1009" s="177"/>
      <c r="Q1009" s="177"/>
      <c r="R1009" s="177"/>
      <c r="S1009" s="177"/>
      <c r="T1009" s="177"/>
      <c r="U1009" s="177"/>
      <c r="V1009" s="177"/>
      <c r="W1009" s="177"/>
      <c r="X1009" s="177"/>
      <c r="Y1009" s="177"/>
      <c r="Z1009" s="177"/>
      <c r="AA1009" s="177"/>
      <c r="AB1009" s="177"/>
      <c r="AC1009" s="177"/>
    </row>
    <row r="1010">
      <c r="A1010" s="177"/>
      <c r="B1010" s="177"/>
      <c r="C1010" s="177"/>
      <c r="D1010" s="177"/>
      <c r="E1010" s="177"/>
      <c r="F1010" s="177"/>
      <c r="G1010" s="177"/>
      <c r="H1010" s="177"/>
      <c r="I1010" s="177"/>
      <c r="J1010" s="177"/>
      <c r="K1010" s="177"/>
      <c r="L1010" s="177"/>
      <c r="M1010" s="177"/>
      <c r="N1010" s="177"/>
      <c r="O1010" s="177"/>
      <c r="P1010" s="177"/>
      <c r="Q1010" s="177"/>
      <c r="R1010" s="177"/>
      <c r="S1010" s="177"/>
      <c r="T1010" s="177"/>
      <c r="U1010" s="177"/>
      <c r="V1010" s="177"/>
      <c r="W1010" s="177"/>
      <c r="X1010" s="177"/>
      <c r="Y1010" s="177"/>
      <c r="Z1010" s="177"/>
      <c r="AA1010" s="177"/>
      <c r="AB1010" s="177"/>
      <c r="AC1010" s="177"/>
    </row>
    <row r="1011">
      <c r="A1011" s="177"/>
      <c r="B1011" s="177"/>
      <c r="C1011" s="177"/>
      <c r="D1011" s="177"/>
      <c r="E1011" s="177"/>
      <c r="F1011" s="177"/>
      <c r="G1011" s="177"/>
      <c r="H1011" s="177"/>
      <c r="I1011" s="177"/>
      <c r="J1011" s="177"/>
      <c r="K1011" s="177"/>
      <c r="L1011" s="177"/>
      <c r="M1011" s="177"/>
      <c r="N1011" s="177"/>
      <c r="O1011" s="177"/>
      <c r="P1011" s="177"/>
      <c r="Q1011" s="177"/>
      <c r="R1011" s="177"/>
      <c r="S1011" s="177"/>
      <c r="T1011" s="177"/>
      <c r="U1011" s="177"/>
      <c r="V1011" s="177"/>
      <c r="W1011" s="177"/>
      <c r="X1011" s="177"/>
      <c r="Y1011" s="177"/>
      <c r="Z1011" s="177"/>
      <c r="AA1011" s="177"/>
      <c r="AB1011" s="177"/>
      <c r="AC1011" s="177"/>
    </row>
    <row r="1012">
      <c r="A1012" s="177"/>
      <c r="B1012" s="177"/>
      <c r="C1012" s="177"/>
      <c r="D1012" s="177"/>
      <c r="E1012" s="177"/>
      <c r="F1012" s="177"/>
      <c r="G1012" s="177"/>
      <c r="H1012" s="177"/>
      <c r="I1012" s="177"/>
      <c r="J1012" s="177"/>
      <c r="K1012" s="177"/>
      <c r="L1012" s="177"/>
      <c r="M1012" s="177"/>
      <c r="N1012" s="177"/>
      <c r="O1012" s="177"/>
      <c r="P1012" s="177"/>
      <c r="Q1012" s="177"/>
      <c r="R1012" s="177"/>
      <c r="S1012" s="177"/>
      <c r="T1012" s="177"/>
      <c r="U1012" s="177"/>
      <c r="V1012" s="177"/>
      <c r="W1012" s="177"/>
      <c r="X1012" s="177"/>
      <c r="Y1012" s="177"/>
      <c r="Z1012" s="177"/>
      <c r="AA1012" s="177"/>
      <c r="AB1012" s="177"/>
      <c r="AC1012" s="177"/>
    </row>
    <row r="1013">
      <c r="A1013" s="177"/>
      <c r="B1013" s="177"/>
      <c r="C1013" s="177"/>
      <c r="D1013" s="177"/>
      <c r="E1013" s="177"/>
      <c r="F1013" s="177"/>
      <c r="G1013" s="177"/>
      <c r="H1013" s="177"/>
      <c r="I1013" s="177"/>
      <c r="J1013" s="177"/>
      <c r="K1013" s="177"/>
      <c r="L1013" s="177"/>
      <c r="M1013" s="177"/>
      <c r="N1013" s="177"/>
      <c r="O1013" s="177"/>
      <c r="P1013" s="177"/>
      <c r="Q1013" s="177"/>
      <c r="R1013" s="177"/>
      <c r="S1013" s="177"/>
      <c r="T1013" s="177"/>
      <c r="U1013" s="177"/>
      <c r="V1013" s="177"/>
      <c r="W1013" s="177"/>
      <c r="X1013" s="177"/>
      <c r="Y1013" s="177"/>
      <c r="Z1013" s="177"/>
      <c r="AA1013" s="177"/>
      <c r="AB1013" s="177"/>
      <c r="AC1013" s="177"/>
    </row>
    <row r="1014">
      <c r="A1014" s="177"/>
      <c r="B1014" s="177"/>
      <c r="C1014" s="177"/>
      <c r="D1014" s="177"/>
      <c r="E1014" s="177"/>
      <c r="F1014" s="177"/>
      <c r="G1014" s="177"/>
      <c r="H1014" s="177"/>
      <c r="I1014" s="177"/>
      <c r="J1014" s="177"/>
      <c r="K1014" s="177"/>
      <c r="L1014" s="177"/>
      <c r="M1014" s="177"/>
      <c r="N1014" s="177"/>
      <c r="O1014" s="177"/>
      <c r="P1014" s="177"/>
      <c r="Q1014" s="177"/>
      <c r="R1014" s="177"/>
      <c r="S1014" s="177"/>
      <c r="T1014" s="177"/>
      <c r="U1014" s="177"/>
      <c r="V1014" s="177"/>
      <c r="W1014" s="177"/>
      <c r="X1014" s="177"/>
      <c r="Y1014" s="177"/>
      <c r="Z1014" s="177"/>
      <c r="AA1014" s="177"/>
      <c r="AB1014" s="177"/>
      <c r="AC1014" s="177"/>
    </row>
    <row r="1015">
      <c r="A1015" s="177"/>
      <c r="B1015" s="177"/>
      <c r="C1015" s="177"/>
      <c r="D1015" s="177"/>
      <c r="E1015" s="177"/>
      <c r="F1015" s="177"/>
      <c r="G1015" s="177"/>
      <c r="H1015" s="177"/>
      <c r="I1015" s="177"/>
      <c r="J1015" s="177"/>
      <c r="K1015" s="177"/>
      <c r="L1015" s="177"/>
      <c r="M1015" s="177"/>
      <c r="N1015" s="177"/>
      <c r="O1015" s="177"/>
      <c r="P1015" s="177"/>
      <c r="Q1015" s="177"/>
      <c r="R1015" s="177"/>
      <c r="S1015" s="177"/>
      <c r="T1015" s="177"/>
      <c r="U1015" s="177"/>
      <c r="V1015" s="177"/>
      <c r="W1015" s="177"/>
      <c r="X1015" s="177"/>
      <c r="Y1015" s="177"/>
      <c r="Z1015" s="177"/>
      <c r="AA1015" s="177"/>
      <c r="AB1015" s="177"/>
      <c r="AC1015" s="177"/>
    </row>
    <row r="1016">
      <c r="A1016" s="177"/>
      <c r="B1016" s="177"/>
      <c r="C1016" s="177"/>
      <c r="D1016" s="177"/>
      <c r="E1016" s="177"/>
      <c r="F1016" s="177"/>
      <c r="G1016" s="177"/>
      <c r="H1016" s="177"/>
      <c r="I1016" s="177"/>
      <c r="J1016" s="177"/>
      <c r="K1016" s="177"/>
      <c r="L1016" s="177"/>
      <c r="M1016" s="177"/>
      <c r="N1016" s="177"/>
      <c r="O1016" s="177"/>
      <c r="P1016" s="177"/>
      <c r="Q1016" s="177"/>
      <c r="R1016" s="177"/>
      <c r="S1016" s="177"/>
      <c r="T1016" s="177"/>
      <c r="U1016" s="177"/>
      <c r="V1016" s="177"/>
      <c r="W1016" s="177"/>
      <c r="X1016" s="177"/>
      <c r="Y1016" s="177"/>
      <c r="Z1016" s="177"/>
      <c r="AA1016" s="177"/>
      <c r="AB1016" s="177"/>
      <c r="AC1016" s="177"/>
    </row>
    <row r="1017">
      <c r="A1017" s="177"/>
      <c r="B1017" s="177"/>
      <c r="C1017" s="177"/>
      <c r="D1017" s="177"/>
      <c r="E1017" s="177"/>
      <c r="F1017" s="177"/>
      <c r="G1017" s="177"/>
      <c r="H1017" s="177"/>
      <c r="I1017" s="177"/>
      <c r="J1017" s="177"/>
      <c r="K1017" s="177"/>
      <c r="L1017" s="177"/>
      <c r="M1017" s="177"/>
      <c r="N1017" s="177"/>
      <c r="O1017" s="177"/>
      <c r="P1017" s="177"/>
      <c r="Q1017" s="177"/>
      <c r="R1017" s="177"/>
      <c r="S1017" s="177"/>
      <c r="T1017" s="177"/>
      <c r="U1017" s="177"/>
      <c r="V1017" s="177"/>
      <c r="W1017" s="177"/>
      <c r="X1017" s="177"/>
      <c r="Y1017" s="177"/>
      <c r="Z1017" s="177"/>
      <c r="AA1017" s="177"/>
      <c r="AB1017" s="177"/>
      <c r="AC1017" s="177"/>
    </row>
    <row r="1018">
      <c r="A1018" s="177"/>
      <c r="B1018" s="177"/>
      <c r="C1018" s="177"/>
      <c r="D1018" s="177"/>
      <c r="E1018" s="177"/>
      <c r="F1018" s="177"/>
      <c r="G1018" s="177"/>
      <c r="H1018" s="177"/>
      <c r="I1018" s="177"/>
      <c r="J1018" s="177"/>
      <c r="K1018" s="177"/>
      <c r="L1018" s="177"/>
      <c r="M1018" s="177"/>
      <c r="N1018" s="177"/>
      <c r="O1018" s="177"/>
      <c r="P1018" s="177"/>
      <c r="Q1018" s="177"/>
      <c r="R1018" s="177"/>
      <c r="S1018" s="177"/>
      <c r="T1018" s="177"/>
      <c r="U1018" s="177"/>
      <c r="V1018" s="177"/>
      <c r="W1018" s="177"/>
      <c r="X1018" s="177"/>
      <c r="Y1018" s="177"/>
      <c r="Z1018" s="177"/>
      <c r="AA1018" s="177"/>
      <c r="AB1018" s="177"/>
      <c r="AC1018" s="177"/>
    </row>
    <row r="1019">
      <c r="A1019" s="177"/>
      <c r="B1019" s="177"/>
      <c r="C1019" s="177"/>
      <c r="D1019" s="177"/>
      <c r="E1019" s="177"/>
      <c r="F1019" s="177"/>
      <c r="G1019" s="177"/>
      <c r="H1019" s="177"/>
      <c r="I1019" s="177"/>
      <c r="J1019" s="177"/>
      <c r="K1019" s="177"/>
      <c r="L1019" s="177"/>
      <c r="M1019" s="177"/>
      <c r="N1019" s="177"/>
      <c r="O1019" s="177"/>
      <c r="P1019" s="177"/>
      <c r="Q1019" s="177"/>
      <c r="R1019" s="177"/>
      <c r="S1019" s="177"/>
      <c r="T1019" s="177"/>
      <c r="U1019" s="177"/>
      <c r="V1019" s="177"/>
      <c r="W1019" s="177"/>
      <c r="X1019" s="177"/>
      <c r="Y1019" s="177"/>
      <c r="Z1019" s="177"/>
      <c r="AA1019" s="177"/>
      <c r="AB1019" s="177"/>
      <c r="AC1019" s="177"/>
    </row>
    <row r="1020">
      <c r="A1020" s="177"/>
      <c r="B1020" s="177"/>
      <c r="C1020" s="177"/>
      <c r="D1020" s="177"/>
      <c r="E1020" s="177"/>
      <c r="F1020" s="177"/>
      <c r="G1020" s="177"/>
      <c r="H1020" s="177"/>
      <c r="I1020" s="177"/>
      <c r="J1020" s="177"/>
      <c r="K1020" s="177"/>
      <c r="L1020" s="177"/>
      <c r="M1020" s="177"/>
      <c r="N1020" s="177"/>
      <c r="O1020" s="177"/>
      <c r="P1020" s="177"/>
      <c r="Q1020" s="177"/>
      <c r="R1020" s="177"/>
      <c r="S1020" s="177"/>
      <c r="T1020" s="177"/>
      <c r="U1020" s="177"/>
      <c r="V1020" s="177"/>
      <c r="W1020" s="177"/>
      <c r="X1020" s="177"/>
      <c r="Y1020" s="177"/>
      <c r="Z1020" s="177"/>
      <c r="AA1020" s="177"/>
      <c r="AB1020" s="177"/>
      <c r="AC1020" s="177"/>
    </row>
    <row r="1021">
      <c r="A1021" s="177"/>
      <c r="B1021" s="177"/>
      <c r="C1021" s="177"/>
      <c r="D1021" s="177"/>
      <c r="E1021" s="177"/>
      <c r="F1021" s="177"/>
      <c r="G1021" s="177"/>
      <c r="H1021" s="177"/>
      <c r="I1021" s="177"/>
      <c r="J1021" s="177"/>
      <c r="K1021" s="177"/>
      <c r="L1021" s="177"/>
      <c r="M1021" s="177"/>
      <c r="N1021" s="177"/>
      <c r="O1021" s="177"/>
      <c r="P1021" s="177"/>
      <c r="Q1021" s="177"/>
      <c r="R1021" s="177"/>
      <c r="S1021" s="177"/>
      <c r="T1021" s="177"/>
      <c r="U1021" s="177"/>
      <c r="V1021" s="177"/>
      <c r="W1021" s="177"/>
      <c r="X1021" s="177"/>
      <c r="Y1021" s="177"/>
      <c r="Z1021" s="177"/>
      <c r="AA1021" s="177"/>
      <c r="AB1021" s="177"/>
      <c r="AC1021" s="177"/>
    </row>
    <row r="1022">
      <c r="A1022" s="177"/>
      <c r="B1022" s="177"/>
      <c r="C1022" s="177"/>
      <c r="D1022" s="177"/>
      <c r="E1022" s="177"/>
      <c r="F1022" s="177"/>
      <c r="G1022" s="177"/>
      <c r="H1022" s="177"/>
      <c r="I1022" s="177"/>
      <c r="J1022" s="177"/>
      <c r="K1022" s="177"/>
      <c r="L1022" s="177"/>
      <c r="M1022" s="177"/>
      <c r="N1022" s="177"/>
      <c r="O1022" s="177"/>
      <c r="P1022" s="177"/>
      <c r="Q1022" s="177"/>
      <c r="R1022" s="177"/>
      <c r="S1022" s="177"/>
      <c r="T1022" s="177"/>
      <c r="U1022" s="177"/>
      <c r="V1022" s="177"/>
      <c r="W1022" s="177"/>
      <c r="X1022" s="177"/>
      <c r="Y1022" s="177"/>
      <c r="Z1022" s="177"/>
      <c r="AA1022" s="177"/>
      <c r="AB1022" s="177"/>
      <c r="AC1022" s="177"/>
    </row>
    <row r="1023">
      <c r="A1023" s="177"/>
      <c r="B1023" s="177"/>
      <c r="C1023" s="177"/>
      <c r="D1023" s="177"/>
      <c r="E1023" s="177"/>
      <c r="F1023" s="177"/>
      <c r="G1023" s="177"/>
      <c r="H1023" s="177"/>
      <c r="I1023" s="177"/>
      <c r="J1023" s="177"/>
      <c r="K1023" s="177"/>
      <c r="L1023" s="177"/>
      <c r="M1023" s="177"/>
      <c r="N1023" s="177"/>
      <c r="O1023" s="177"/>
      <c r="P1023" s="177"/>
      <c r="Q1023" s="177"/>
      <c r="R1023" s="177"/>
      <c r="S1023" s="177"/>
      <c r="T1023" s="177"/>
      <c r="U1023" s="177"/>
      <c r="V1023" s="177"/>
      <c r="W1023" s="177"/>
      <c r="X1023" s="177"/>
      <c r="Y1023" s="177"/>
      <c r="Z1023" s="177"/>
      <c r="AA1023" s="177"/>
      <c r="AB1023" s="177"/>
      <c r="AC1023" s="177"/>
    </row>
    <row r="1024">
      <c r="A1024" s="177"/>
      <c r="B1024" s="177"/>
      <c r="C1024" s="177"/>
      <c r="D1024" s="177"/>
      <c r="E1024" s="177"/>
      <c r="F1024" s="177"/>
      <c r="G1024" s="177"/>
      <c r="H1024" s="177"/>
      <c r="I1024" s="177"/>
      <c r="J1024" s="177"/>
      <c r="K1024" s="177"/>
      <c r="L1024" s="177"/>
      <c r="M1024" s="177"/>
      <c r="N1024" s="177"/>
      <c r="O1024" s="177"/>
      <c r="P1024" s="177"/>
      <c r="Q1024" s="177"/>
      <c r="R1024" s="177"/>
      <c r="S1024" s="177"/>
      <c r="T1024" s="177"/>
      <c r="U1024" s="177"/>
      <c r="V1024" s="177"/>
      <c r="W1024" s="177"/>
      <c r="X1024" s="177"/>
      <c r="Y1024" s="177"/>
      <c r="Z1024" s="177"/>
      <c r="AA1024" s="177"/>
      <c r="AB1024" s="177"/>
      <c r="AC1024" s="177"/>
    </row>
    <row r="1025">
      <c r="A1025" s="177"/>
      <c r="B1025" s="177"/>
      <c r="C1025" s="177"/>
      <c r="D1025" s="177"/>
      <c r="E1025" s="177"/>
      <c r="F1025" s="177"/>
      <c r="G1025" s="177"/>
      <c r="H1025" s="177"/>
      <c r="I1025" s="177"/>
      <c r="J1025" s="177"/>
      <c r="K1025" s="177"/>
      <c r="L1025" s="177"/>
      <c r="M1025" s="177"/>
      <c r="N1025" s="177"/>
      <c r="O1025" s="177"/>
      <c r="P1025" s="177"/>
      <c r="Q1025" s="177"/>
      <c r="R1025" s="177"/>
      <c r="S1025" s="177"/>
      <c r="T1025" s="177"/>
      <c r="U1025" s="177"/>
      <c r="V1025" s="177"/>
      <c r="W1025" s="177"/>
      <c r="X1025" s="177"/>
      <c r="Y1025" s="177"/>
      <c r="Z1025" s="177"/>
      <c r="AA1025" s="177"/>
      <c r="AB1025" s="177"/>
      <c r="AC1025" s="177"/>
    </row>
  </sheetData>
  <mergeCells count="8">
    <mergeCell ref="M3:X3"/>
    <mergeCell ref="M24:X24"/>
    <mergeCell ref="M64:N64"/>
    <mergeCell ref="O64:P64"/>
    <mergeCell ref="Q64:R64"/>
    <mergeCell ref="S64:T64"/>
    <mergeCell ref="U64:V64"/>
    <mergeCell ref="W64:X64"/>
  </mergeCells>
  <dataValidations>
    <dataValidation type="custom" allowBlank="1" showDropDown="1" sqref="C5:D21 C26:D56">
      <formula1>AND(ISNUMBER(C5),(NOT(OR(NOT(ISERROR(DATEVALUE(C5))), AND(ISNUMBER(C5), LEFT(CELL("format", C5))="D")))))</formula1>
    </dataValidation>
  </dataValidations>
  <hyperlinks>
    <hyperlink r:id="rId2" location="gid=0" ref="E1"/>
  </hyperlinks>
  <drawing r:id="rId3"/>
  <legacyDrawing r:id="rId4"/>
  <tableParts count="5">
    <tablePart r:id="rId10"/>
    <tablePart r:id="rId11"/>
    <tablePart r:id="rId12"/>
    <tablePart r:id="rId13"/>
    <tablePart r:id="rId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38"/>
    <col customWidth="1" min="2" max="2" width="23.38"/>
    <col customWidth="1" min="3" max="3" width="21.38"/>
    <col customWidth="1" min="4" max="4" width="23.75"/>
    <col customWidth="1" min="5" max="5" width="21.13"/>
    <col customWidth="1" min="6" max="6" width="25.13"/>
    <col customWidth="1" min="7" max="7" width="24.88"/>
    <col customWidth="1" min="8" max="8" width="28.25"/>
    <col customWidth="1" min="9" max="9" width="24.0"/>
    <col customWidth="1" min="10" max="10" width="27.25"/>
    <col customWidth="1" min="11" max="11" width="22.88"/>
  </cols>
  <sheetData>
    <row r="1">
      <c r="A1" s="2"/>
      <c r="B1" s="2"/>
      <c r="C1" s="2"/>
      <c r="D1" s="2"/>
      <c r="E1" s="2"/>
      <c r="F1" s="2"/>
      <c r="G1" s="2"/>
      <c r="H1" s="2"/>
      <c r="I1" s="2"/>
      <c r="J1" s="2"/>
      <c r="K1" s="2"/>
      <c r="L1" s="2"/>
      <c r="M1" s="2"/>
      <c r="N1" s="2"/>
      <c r="O1" s="2"/>
      <c r="P1" s="2"/>
      <c r="Q1" s="2"/>
      <c r="R1" s="2"/>
      <c r="S1" s="2"/>
      <c r="T1" s="2"/>
      <c r="U1" s="2"/>
      <c r="V1" s="2"/>
      <c r="W1" s="2"/>
      <c r="X1" s="2"/>
      <c r="Y1" s="2"/>
      <c r="Z1" s="2"/>
      <c r="AA1" s="2"/>
      <c r="AB1" s="2"/>
      <c r="AC1" s="2"/>
    </row>
    <row r="2">
      <c r="A2" s="2"/>
      <c r="B2" s="2"/>
      <c r="C2" s="2"/>
      <c r="D2" s="2"/>
      <c r="E2" s="2"/>
      <c r="F2" s="2"/>
      <c r="G2" s="2"/>
      <c r="H2" s="2"/>
      <c r="I2" s="2"/>
      <c r="J2" s="2"/>
      <c r="K2" s="2"/>
      <c r="L2" s="2"/>
      <c r="M2" s="2"/>
      <c r="N2" s="2"/>
      <c r="O2" s="2"/>
      <c r="P2" s="2"/>
      <c r="Q2" s="2"/>
      <c r="R2" s="2"/>
      <c r="S2" s="2"/>
      <c r="T2" s="2"/>
      <c r="U2" s="2"/>
      <c r="V2" s="2"/>
      <c r="W2" s="2"/>
      <c r="X2" s="2"/>
      <c r="Y2" s="2"/>
      <c r="Z2" s="2"/>
      <c r="AA2" s="2"/>
      <c r="AB2" s="2"/>
      <c r="AC2" s="2"/>
    </row>
    <row r="3">
      <c r="A3" s="2"/>
      <c r="B3" s="319"/>
      <c r="C3" s="319"/>
      <c r="D3" s="319"/>
      <c r="E3" s="319"/>
      <c r="F3" s="319"/>
      <c r="G3" s="319"/>
      <c r="H3" s="319"/>
      <c r="I3" s="319"/>
      <c r="J3" s="319"/>
      <c r="K3" s="319"/>
      <c r="L3" s="2"/>
      <c r="M3" s="2"/>
      <c r="N3" s="2"/>
      <c r="O3" s="2"/>
      <c r="P3" s="2"/>
      <c r="Q3" s="2"/>
      <c r="R3" s="2"/>
      <c r="S3" s="2"/>
      <c r="T3" s="2"/>
      <c r="U3" s="2"/>
      <c r="V3" s="2"/>
      <c r="W3" s="2"/>
      <c r="X3" s="2"/>
      <c r="Y3" s="2"/>
      <c r="Z3" s="2"/>
      <c r="AA3" s="2"/>
      <c r="AB3" s="2"/>
      <c r="AC3" s="2"/>
    </row>
    <row r="4" ht="22.5" customHeight="1">
      <c r="A4" s="2"/>
      <c r="B4" s="320" t="s">
        <v>4</v>
      </c>
      <c r="C4" s="320" t="s">
        <v>1400</v>
      </c>
      <c r="D4" s="320" t="s">
        <v>1401</v>
      </c>
      <c r="E4" s="320" t="s">
        <v>1402</v>
      </c>
      <c r="F4" s="320" t="s">
        <v>1403</v>
      </c>
      <c r="G4" s="320" t="s">
        <v>1404</v>
      </c>
      <c r="H4" s="320" t="s">
        <v>1405</v>
      </c>
      <c r="I4" s="320" t="s">
        <v>1406</v>
      </c>
      <c r="J4" s="320" t="s">
        <v>1407</v>
      </c>
      <c r="K4" s="320" t="s">
        <v>326</v>
      </c>
      <c r="L4" s="2"/>
      <c r="M4" s="2"/>
      <c r="N4" s="2"/>
      <c r="O4" s="2"/>
      <c r="P4" s="2"/>
      <c r="Q4" s="2"/>
      <c r="R4" s="2"/>
      <c r="S4" s="2"/>
      <c r="T4" s="2"/>
      <c r="U4" s="2"/>
      <c r="V4" s="2"/>
      <c r="W4" s="2"/>
      <c r="X4" s="2"/>
      <c r="Y4" s="2"/>
      <c r="Z4" s="2"/>
      <c r="AA4" s="2"/>
      <c r="AB4" s="2"/>
      <c r="AC4" s="2"/>
    </row>
    <row r="5" ht="22.5" customHeight="1">
      <c r="A5" s="2"/>
      <c r="B5" s="321" t="s">
        <v>1480</v>
      </c>
      <c r="C5" s="322">
        <v>3860590.0</v>
      </c>
      <c r="D5" s="322"/>
      <c r="E5" s="323" t="s">
        <v>1620</v>
      </c>
      <c r="F5" s="323" t="s">
        <v>1621</v>
      </c>
      <c r="G5" s="324"/>
      <c r="H5" s="324"/>
      <c r="I5" s="323" t="s">
        <v>1622</v>
      </c>
      <c r="J5" s="323" t="s">
        <v>1623</v>
      </c>
      <c r="K5" s="323" t="s">
        <v>1624</v>
      </c>
      <c r="L5" s="2"/>
      <c r="M5" s="2"/>
      <c r="N5" s="2"/>
      <c r="O5" s="2"/>
      <c r="P5" s="2"/>
      <c r="Q5" s="2"/>
      <c r="R5" s="2"/>
      <c r="S5" s="2"/>
      <c r="T5" s="2"/>
      <c r="U5" s="2"/>
      <c r="V5" s="2"/>
      <c r="W5" s="2"/>
      <c r="X5" s="2"/>
      <c r="Y5" s="2"/>
      <c r="Z5" s="2"/>
      <c r="AA5" s="2"/>
      <c r="AB5" s="2"/>
      <c r="AC5" s="2"/>
    </row>
    <row r="6" ht="22.5" customHeight="1">
      <c r="A6" s="2"/>
      <c r="B6" s="321" t="s">
        <v>1625</v>
      </c>
      <c r="C6" s="322">
        <v>1368438.0</v>
      </c>
      <c r="D6" s="322">
        <f>150000*10</f>
        <v>1500000</v>
      </c>
      <c r="E6" s="323" t="s">
        <v>1626</v>
      </c>
      <c r="F6" s="323" t="s">
        <v>1627</v>
      </c>
      <c r="G6" s="324"/>
      <c r="H6" s="324"/>
      <c r="I6" s="323" t="s">
        <v>1622</v>
      </c>
      <c r="J6" s="323" t="s">
        <v>1628</v>
      </c>
      <c r="K6" s="324"/>
      <c r="L6" s="2"/>
      <c r="M6" s="2"/>
      <c r="N6" s="2"/>
      <c r="O6" s="2"/>
      <c r="P6" s="2"/>
      <c r="Q6" s="2"/>
      <c r="R6" s="2"/>
      <c r="S6" s="2"/>
      <c r="T6" s="2"/>
      <c r="U6" s="2"/>
      <c r="V6" s="2"/>
      <c r="W6" s="2"/>
      <c r="X6" s="2"/>
      <c r="Y6" s="2"/>
      <c r="Z6" s="2"/>
      <c r="AA6" s="2"/>
      <c r="AB6" s="2"/>
      <c r="AC6" s="2"/>
    </row>
    <row r="7" ht="22.5" customHeight="1">
      <c r="A7" s="2"/>
      <c r="B7" s="321" t="s">
        <v>1458</v>
      </c>
      <c r="C7" s="322">
        <v>921193.0</v>
      </c>
      <c r="D7" s="325">
        <f>300000*12+128520+173040+70000+500000+600000</f>
        <v>5071560</v>
      </c>
      <c r="E7" s="323" t="s">
        <v>1629</v>
      </c>
      <c r="F7" s="323" t="s">
        <v>1630</v>
      </c>
      <c r="G7" s="324"/>
      <c r="H7" s="323" t="s">
        <v>1631</v>
      </c>
      <c r="I7" s="323" t="s">
        <v>1632</v>
      </c>
      <c r="J7" s="323" t="s">
        <v>1633</v>
      </c>
      <c r="K7" s="323" t="s">
        <v>1634</v>
      </c>
      <c r="L7" s="2"/>
      <c r="M7" s="2"/>
      <c r="N7" s="2"/>
      <c r="O7" s="2"/>
      <c r="P7" s="2"/>
      <c r="Q7" s="2"/>
      <c r="R7" s="2"/>
      <c r="S7" s="2"/>
      <c r="T7" s="2"/>
      <c r="U7" s="2"/>
      <c r="V7" s="2"/>
      <c r="W7" s="2"/>
      <c r="X7" s="2"/>
      <c r="Y7" s="2"/>
      <c r="Z7" s="2"/>
      <c r="AA7" s="2"/>
      <c r="AB7" s="2"/>
      <c r="AC7" s="2"/>
    </row>
    <row r="8" ht="22.5" customHeight="1">
      <c r="A8" s="2"/>
      <c r="B8" s="321" t="s">
        <v>795</v>
      </c>
      <c r="C8" s="322">
        <v>619700.0</v>
      </c>
      <c r="D8" s="326">
        <v>700000.0</v>
      </c>
      <c r="E8" s="323" t="s">
        <v>1635</v>
      </c>
      <c r="F8" s="323" t="s">
        <v>1636</v>
      </c>
      <c r="G8" s="324"/>
      <c r="H8" s="324"/>
      <c r="I8" s="324"/>
      <c r="J8" s="327" t="s">
        <v>1637</v>
      </c>
      <c r="K8" s="324"/>
      <c r="L8" s="2"/>
      <c r="M8" s="2"/>
      <c r="N8" s="2"/>
      <c r="O8" s="2"/>
      <c r="P8" s="2"/>
      <c r="Q8" s="2"/>
      <c r="R8" s="2"/>
      <c r="S8" s="2"/>
      <c r="T8" s="2"/>
      <c r="U8" s="2"/>
      <c r="V8" s="2"/>
      <c r="W8" s="2"/>
      <c r="X8" s="2"/>
      <c r="Y8" s="2"/>
      <c r="Z8" s="2"/>
      <c r="AA8" s="2"/>
      <c r="AB8" s="2"/>
      <c r="AC8" s="2"/>
    </row>
    <row r="9" ht="22.5" customHeight="1">
      <c r="A9" s="2"/>
      <c r="B9" s="323" t="s">
        <v>63</v>
      </c>
      <c r="C9" s="328">
        <v>166000.0</v>
      </c>
      <c r="D9" s="329">
        <f>(60000*12)+(130000*10)</f>
        <v>2020000</v>
      </c>
      <c r="E9" s="324"/>
      <c r="F9" s="323" t="s">
        <v>1638</v>
      </c>
      <c r="G9" s="324"/>
      <c r="H9" s="324"/>
      <c r="I9" s="323" t="s">
        <v>1639</v>
      </c>
      <c r="J9" s="323" t="s">
        <v>1640</v>
      </c>
      <c r="K9" s="323" t="s">
        <v>1641</v>
      </c>
      <c r="L9" s="2"/>
      <c r="M9" s="2"/>
      <c r="N9" s="2"/>
      <c r="O9" s="2"/>
      <c r="P9" s="2"/>
      <c r="Q9" s="2"/>
      <c r="R9" s="2"/>
      <c r="S9" s="2"/>
      <c r="T9" s="2"/>
      <c r="U9" s="2"/>
      <c r="V9" s="2"/>
      <c r="W9" s="2"/>
      <c r="X9" s="2"/>
      <c r="Y9" s="2"/>
      <c r="Z9" s="2"/>
      <c r="AA9" s="2"/>
      <c r="AB9" s="2"/>
      <c r="AC9" s="2"/>
    </row>
    <row r="10" ht="22.5" customHeight="1">
      <c r="A10" s="2"/>
      <c r="B10" s="321"/>
      <c r="C10" s="322"/>
      <c r="D10" s="330"/>
      <c r="E10" s="324"/>
      <c r="F10" s="324"/>
      <c r="G10" s="324"/>
      <c r="H10" s="324"/>
      <c r="I10" s="324"/>
      <c r="J10" s="324"/>
      <c r="K10" s="324"/>
      <c r="L10" s="2"/>
      <c r="M10" s="2"/>
      <c r="N10" s="2"/>
      <c r="O10" s="2"/>
      <c r="P10" s="2"/>
      <c r="Q10" s="2"/>
      <c r="R10" s="2"/>
      <c r="S10" s="2"/>
      <c r="T10" s="2"/>
      <c r="U10" s="2"/>
      <c r="V10" s="2"/>
      <c r="W10" s="2"/>
      <c r="X10" s="2"/>
      <c r="Y10" s="2"/>
      <c r="Z10" s="2"/>
      <c r="AA10" s="2"/>
      <c r="AB10" s="2"/>
      <c r="AC10" s="2"/>
    </row>
    <row r="11" ht="22.5" customHeight="1">
      <c r="A11" s="2"/>
      <c r="B11" s="321"/>
      <c r="C11" s="322"/>
      <c r="D11" s="330"/>
      <c r="E11" s="324"/>
      <c r="F11" s="324"/>
      <c r="G11" s="324"/>
      <c r="H11" s="324"/>
      <c r="I11" s="324"/>
      <c r="J11" s="324"/>
      <c r="K11" s="324"/>
      <c r="L11" s="2"/>
      <c r="M11" s="2"/>
      <c r="N11" s="2"/>
      <c r="O11" s="2"/>
      <c r="P11" s="2"/>
      <c r="Q11" s="2"/>
      <c r="R11" s="2"/>
      <c r="S11" s="2"/>
      <c r="T11" s="2"/>
      <c r="U11" s="2"/>
      <c r="V11" s="2"/>
      <c r="W11" s="2"/>
      <c r="X11" s="2"/>
      <c r="Y11" s="2"/>
      <c r="Z11" s="2"/>
      <c r="AA11" s="2"/>
      <c r="AB11" s="2"/>
      <c r="AC11" s="2"/>
    </row>
    <row r="12" ht="22.5" customHeight="1">
      <c r="A12" s="2"/>
      <c r="B12" s="321"/>
      <c r="C12" s="322"/>
      <c r="D12" s="330"/>
      <c r="E12" s="324"/>
      <c r="F12" s="324"/>
      <c r="G12" s="324"/>
      <c r="H12" s="324"/>
      <c r="I12" s="324"/>
      <c r="J12" s="324"/>
      <c r="K12" s="324"/>
      <c r="L12" s="2"/>
      <c r="M12" s="2"/>
      <c r="N12" s="2"/>
      <c r="O12" s="2"/>
      <c r="P12" s="2"/>
      <c r="Q12" s="2"/>
      <c r="R12" s="2"/>
      <c r="S12" s="2"/>
      <c r="T12" s="2"/>
      <c r="U12" s="2"/>
      <c r="V12" s="2"/>
      <c r="W12" s="2"/>
      <c r="X12" s="2"/>
      <c r="Y12" s="2"/>
      <c r="Z12" s="2"/>
      <c r="AA12" s="2"/>
      <c r="AB12" s="2"/>
      <c r="AC12" s="2"/>
    </row>
    <row r="13" ht="22.5" customHeight="1">
      <c r="A13" s="2"/>
      <c r="B13" s="321"/>
      <c r="C13" s="322"/>
      <c r="D13" s="330"/>
      <c r="E13" s="324"/>
      <c r="F13" s="324"/>
      <c r="G13" s="324"/>
      <c r="H13" s="324"/>
      <c r="I13" s="324"/>
      <c r="J13" s="324"/>
      <c r="K13" s="324"/>
      <c r="L13" s="2"/>
      <c r="M13" s="2"/>
      <c r="N13" s="2"/>
      <c r="O13" s="2"/>
      <c r="P13" s="2"/>
      <c r="Q13" s="2"/>
      <c r="R13" s="2"/>
      <c r="S13" s="2"/>
      <c r="T13" s="2"/>
      <c r="U13" s="2"/>
      <c r="V13" s="2"/>
      <c r="W13" s="2"/>
      <c r="X13" s="2"/>
      <c r="Y13" s="2"/>
      <c r="Z13" s="2"/>
      <c r="AA13" s="2"/>
      <c r="AB13" s="2"/>
      <c r="AC13" s="2"/>
    </row>
    <row r="14" ht="22.5" customHeight="1">
      <c r="A14" s="2"/>
      <c r="B14" s="321"/>
      <c r="C14" s="322"/>
      <c r="D14" s="330"/>
      <c r="E14" s="324"/>
      <c r="F14" s="324"/>
      <c r="G14" s="324"/>
      <c r="H14" s="324"/>
      <c r="I14" s="324"/>
      <c r="J14" s="324"/>
      <c r="K14" s="324"/>
      <c r="L14" s="2"/>
      <c r="M14" s="2"/>
      <c r="N14" s="2"/>
      <c r="O14" s="2"/>
      <c r="P14" s="2"/>
      <c r="Q14" s="2"/>
      <c r="R14" s="2"/>
      <c r="S14" s="2"/>
      <c r="T14" s="2"/>
      <c r="U14" s="2"/>
      <c r="V14" s="2"/>
      <c r="W14" s="2"/>
      <c r="X14" s="2"/>
      <c r="Y14" s="2"/>
      <c r="Z14" s="2"/>
      <c r="AA14" s="2"/>
      <c r="AB14" s="2"/>
      <c r="AC14" s="2"/>
    </row>
    <row r="15" ht="22.5" customHeight="1">
      <c r="A15" s="2"/>
      <c r="B15" s="321"/>
      <c r="C15" s="322"/>
      <c r="D15" s="330"/>
      <c r="E15" s="324"/>
      <c r="F15" s="324"/>
      <c r="G15" s="324"/>
      <c r="H15" s="324"/>
      <c r="I15" s="324"/>
      <c r="J15" s="324"/>
      <c r="K15" s="324"/>
      <c r="L15" s="2"/>
      <c r="M15" s="2"/>
      <c r="N15" s="2"/>
      <c r="O15" s="2"/>
      <c r="P15" s="2"/>
      <c r="Q15" s="2"/>
      <c r="R15" s="2"/>
      <c r="S15" s="2"/>
      <c r="T15" s="2"/>
      <c r="U15" s="2"/>
      <c r="V15" s="2"/>
      <c r="W15" s="2"/>
      <c r="X15" s="2"/>
      <c r="Y15" s="2"/>
      <c r="Z15" s="2"/>
      <c r="AA15" s="2"/>
      <c r="AB15" s="2"/>
      <c r="AC15" s="2"/>
    </row>
    <row r="16" ht="22.5" customHeight="1">
      <c r="A16" s="2"/>
      <c r="B16" s="321"/>
      <c r="C16" s="322"/>
      <c r="D16" s="330"/>
      <c r="E16" s="324"/>
      <c r="F16" s="324"/>
      <c r="G16" s="324"/>
      <c r="H16" s="324"/>
      <c r="I16" s="324"/>
      <c r="J16" s="324"/>
      <c r="K16" s="324"/>
      <c r="L16" s="2"/>
      <c r="M16" s="2"/>
      <c r="N16" s="2"/>
      <c r="O16" s="2"/>
      <c r="P16" s="2"/>
      <c r="Q16" s="2"/>
      <c r="R16" s="2"/>
      <c r="S16" s="2"/>
      <c r="T16" s="2"/>
      <c r="U16" s="2"/>
      <c r="V16" s="2"/>
      <c r="W16" s="2"/>
      <c r="X16" s="2"/>
      <c r="Y16" s="2"/>
      <c r="Z16" s="2"/>
      <c r="AA16" s="2"/>
      <c r="AB16" s="2"/>
      <c r="AC16" s="2"/>
    </row>
    <row r="17" ht="22.5" customHeight="1">
      <c r="A17" s="2"/>
      <c r="B17" s="321"/>
      <c r="C17" s="322"/>
      <c r="D17" s="330"/>
      <c r="E17" s="324"/>
      <c r="F17" s="324"/>
      <c r="G17" s="324"/>
      <c r="H17" s="324"/>
      <c r="I17" s="324"/>
      <c r="J17" s="324"/>
      <c r="K17" s="324"/>
      <c r="L17" s="2"/>
      <c r="M17" s="2"/>
      <c r="N17" s="2"/>
      <c r="O17" s="2"/>
      <c r="P17" s="2"/>
      <c r="Q17" s="2"/>
      <c r="R17" s="2"/>
      <c r="S17" s="2"/>
      <c r="T17" s="2"/>
      <c r="U17" s="2"/>
      <c r="V17" s="2"/>
      <c r="W17" s="2"/>
      <c r="X17" s="2"/>
      <c r="Y17" s="2"/>
      <c r="Z17" s="2"/>
      <c r="AA17" s="2"/>
      <c r="AB17" s="2"/>
      <c r="AC17" s="2"/>
    </row>
    <row r="18" ht="22.5" customHeight="1">
      <c r="A18" s="2"/>
      <c r="B18" s="321"/>
      <c r="C18" s="322"/>
      <c r="D18" s="330"/>
      <c r="E18" s="324"/>
      <c r="F18" s="324"/>
      <c r="G18" s="324"/>
      <c r="H18" s="324"/>
      <c r="I18" s="324"/>
      <c r="J18" s="324"/>
      <c r="K18" s="324"/>
      <c r="L18" s="2"/>
      <c r="M18" s="2"/>
      <c r="N18" s="2"/>
      <c r="O18" s="2"/>
      <c r="P18" s="2"/>
      <c r="Q18" s="2"/>
      <c r="R18" s="2"/>
      <c r="S18" s="2"/>
      <c r="T18" s="2"/>
      <c r="U18" s="2"/>
      <c r="V18" s="2"/>
      <c r="W18" s="2"/>
      <c r="X18" s="2"/>
      <c r="Y18" s="2"/>
      <c r="Z18" s="2"/>
      <c r="AA18" s="2"/>
      <c r="AB18" s="2"/>
      <c r="AC18" s="2"/>
    </row>
    <row r="19" ht="22.5" customHeight="1">
      <c r="A19" s="331"/>
      <c r="B19" s="332" t="s">
        <v>1468</v>
      </c>
      <c r="C19" s="333">
        <f t="shared" ref="C19:D19" si="1">SUM(C5:C18)</f>
        <v>6935921</v>
      </c>
      <c r="D19" s="333">
        <f t="shared" si="1"/>
        <v>9291560</v>
      </c>
      <c r="E19" s="334"/>
      <c r="F19" s="335" t="s">
        <v>1642</v>
      </c>
      <c r="G19" s="334"/>
      <c r="H19" s="334"/>
      <c r="I19" s="334"/>
      <c r="J19" s="334"/>
      <c r="K19" s="334"/>
      <c r="L19" s="331"/>
      <c r="M19" s="331"/>
      <c r="N19" s="331"/>
      <c r="O19" s="331"/>
      <c r="P19" s="331"/>
      <c r="Q19" s="331"/>
      <c r="R19" s="331"/>
      <c r="S19" s="331"/>
      <c r="T19" s="331"/>
      <c r="U19" s="331"/>
      <c r="V19" s="331"/>
      <c r="W19" s="331"/>
      <c r="X19" s="331"/>
      <c r="Y19" s="331"/>
      <c r="Z19" s="331"/>
      <c r="AA19" s="331"/>
      <c r="AB19" s="331"/>
      <c r="AC19" s="331"/>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row>
    <row r="21">
      <c r="A21" s="2"/>
      <c r="B21" s="319"/>
      <c r="C21" s="319"/>
      <c r="D21" s="319"/>
      <c r="E21" s="319"/>
      <c r="F21" s="319"/>
      <c r="G21" s="319"/>
      <c r="H21" s="319"/>
      <c r="I21" s="319"/>
      <c r="J21" s="319"/>
      <c r="K21" s="319"/>
      <c r="L21" s="2"/>
      <c r="M21" s="2"/>
      <c r="N21" s="2"/>
      <c r="O21" s="2"/>
      <c r="P21" s="2"/>
      <c r="Q21" s="2"/>
      <c r="R21" s="2"/>
      <c r="S21" s="2"/>
      <c r="T21" s="2"/>
      <c r="U21" s="2"/>
      <c r="V21" s="2"/>
      <c r="W21" s="2"/>
      <c r="X21" s="2"/>
      <c r="Y21" s="2"/>
      <c r="Z21" s="2"/>
      <c r="AA21" s="2"/>
      <c r="AB21" s="2"/>
      <c r="AC21" s="2"/>
    </row>
    <row r="22" ht="22.5" customHeight="1">
      <c r="A22" s="2"/>
      <c r="B22" s="320" t="s">
        <v>4</v>
      </c>
      <c r="C22" s="320" t="s">
        <v>1400</v>
      </c>
      <c r="D22" s="320" t="s">
        <v>1473</v>
      </c>
      <c r="E22" s="320" t="s">
        <v>1402</v>
      </c>
      <c r="F22" s="320" t="s">
        <v>1403</v>
      </c>
      <c r="G22" s="320" t="s">
        <v>1404</v>
      </c>
      <c r="H22" s="320" t="s">
        <v>1405</v>
      </c>
      <c r="I22" s="320" t="s">
        <v>1406</v>
      </c>
      <c r="J22" s="320" t="s">
        <v>1407</v>
      </c>
      <c r="K22" s="320" t="s">
        <v>326</v>
      </c>
      <c r="L22" s="2"/>
      <c r="M22" s="2"/>
      <c r="N22" s="2"/>
      <c r="O22" s="2"/>
      <c r="P22" s="2"/>
      <c r="Q22" s="2"/>
      <c r="R22" s="2"/>
      <c r="S22" s="2"/>
      <c r="T22" s="2"/>
      <c r="U22" s="2"/>
      <c r="V22" s="2"/>
      <c r="W22" s="2"/>
      <c r="X22" s="2"/>
      <c r="Y22" s="2"/>
      <c r="Z22" s="2"/>
      <c r="AA22" s="2"/>
      <c r="AB22" s="2"/>
      <c r="AC22" s="2"/>
    </row>
    <row r="23" ht="22.5" customHeight="1">
      <c r="A23" s="336"/>
      <c r="B23" s="337" t="s">
        <v>1643</v>
      </c>
      <c r="C23" s="338">
        <v>401008.0</v>
      </c>
      <c r="D23" s="339"/>
      <c r="E23" s="337" t="s">
        <v>1644</v>
      </c>
      <c r="F23" s="337" t="s">
        <v>1645</v>
      </c>
      <c r="G23" s="340"/>
      <c r="H23" s="340"/>
      <c r="I23" s="337" t="s">
        <v>1622</v>
      </c>
      <c r="J23" s="337" t="s">
        <v>1646</v>
      </c>
      <c r="K23" s="337" t="s">
        <v>1647</v>
      </c>
      <c r="L23" s="341"/>
      <c r="M23" s="341"/>
      <c r="N23" s="341"/>
      <c r="O23" s="341"/>
      <c r="P23" s="341"/>
      <c r="Q23" s="341"/>
      <c r="R23" s="341"/>
      <c r="S23" s="341"/>
      <c r="T23" s="341"/>
      <c r="U23" s="341"/>
      <c r="V23" s="341"/>
      <c r="W23" s="341"/>
      <c r="X23" s="341"/>
      <c r="Y23" s="341"/>
      <c r="Z23" s="341"/>
      <c r="AA23" s="341"/>
      <c r="AB23" s="341"/>
      <c r="AC23" s="341"/>
    </row>
    <row r="24" ht="22.5" customHeight="1">
      <c r="A24" s="336"/>
      <c r="B24" s="337" t="s">
        <v>1648</v>
      </c>
      <c r="C24" s="338">
        <v>255051.0</v>
      </c>
      <c r="D24" s="339"/>
      <c r="E24" s="340"/>
      <c r="F24" s="337" t="s">
        <v>1649</v>
      </c>
      <c r="G24" s="340"/>
      <c r="H24" s="340"/>
      <c r="I24" s="337" t="s">
        <v>1622</v>
      </c>
      <c r="J24" s="337" t="s">
        <v>1650</v>
      </c>
      <c r="K24" s="337" t="s">
        <v>1647</v>
      </c>
      <c r="L24" s="341"/>
      <c r="M24" s="341"/>
      <c r="N24" s="341"/>
      <c r="O24" s="341"/>
      <c r="P24" s="341"/>
      <c r="Q24" s="341"/>
      <c r="R24" s="341"/>
      <c r="S24" s="341"/>
      <c r="T24" s="341"/>
      <c r="U24" s="341"/>
      <c r="V24" s="341"/>
      <c r="W24" s="341"/>
      <c r="X24" s="341"/>
      <c r="Y24" s="341"/>
      <c r="Z24" s="341"/>
      <c r="AA24" s="341"/>
      <c r="AB24" s="341"/>
      <c r="AC24" s="341"/>
    </row>
    <row r="25" ht="22.5" customHeight="1">
      <c r="A25" s="342"/>
      <c r="B25" s="343" t="s">
        <v>1651</v>
      </c>
      <c r="C25" s="344">
        <f>190000+40000</f>
        <v>230000</v>
      </c>
      <c r="D25" s="344">
        <v>150000.0</v>
      </c>
      <c r="E25" s="345"/>
      <c r="F25" s="343" t="s">
        <v>1652</v>
      </c>
      <c r="G25" s="345"/>
      <c r="H25" s="345"/>
      <c r="I25" s="343" t="s">
        <v>1622</v>
      </c>
      <c r="J25" s="345"/>
      <c r="K25" s="343" t="s">
        <v>1653</v>
      </c>
      <c r="L25" s="346"/>
      <c r="M25" s="346"/>
      <c r="N25" s="346"/>
      <c r="O25" s="346"/>
      <c r="P25" s="346"/>
      <c r="Q25" s="346"/>
      <c r="R25" s="346"/>
      <c r="S25" s="346"/>
      <c r="T25" s="346"/>
      <c r="U25" s="346"/>
      <c r="V25" s="346"/>
      <c r="W25" s="346"/>
      <c r="X25" s="346"/>
      <c r="Y25" s="346"/>
      <c r="Z25" s="346"/>
      <c r="AA25" s="346"/>
      <c r="AB25" s="346"/>
      <c r="AC25" s="346"/>
    </row>
    <row r="26" ht="22.5" customHeight="1">
      <c r="A26" s="347"/>
      <c r="B26" s="348" t="s">
        <v>1540</v>
      </c>
      <c r="C26" s="349">
        <v>160000.0</v>
      </c>
      <c r="D26" s="349">
        <v>300000.0</v>
      </c>
      <c r="E26" s="350"/>
      <c r="F26" s="348" t="s">
        <v>1654</v>
      </c>
      <c r="G26" s="350"/>
      <c r="H26" s="350"/>
      <c r="I26" s="348" t="s">
        <v>1639</v>
      </c>
      <c r="J26" s="348" t="s">
        <v>1655</v>
      </c>
      <c r="K26" s="348" t="s">
        <v>1656</v>
      </c>
      <c r="L26" s="351"/>
      <c r="M26" s="351"/>
      <c r="N26" s="351"/>
      <c r="O26" s="351"/>
      <c r="P26" s="351"/>
      <c r="Q26" s="351"/>
      <c r="R26" s="351"/>
      <c r="S26" s="351"/>
      <c r="T26" s="351"/>
      <c r="U26" s="351"/>
      <c r="V26" s="351"/>
      <c r="W26" s="351"/>
      <c r="X26" s="351"/>
      <c r="Y26" s="351"/>
      <c r="Z26" s="351"/>
      <c r="AA26" s="351"/>
      <c r="AB26" s="351"/>
      <c r="AC26" s="351"/>
    </row>
    <row r="27" ht="22.5" customHeight="1">
      <c r="A27" s="336"/>
      <c r="B27" s="337" t="s">
        <v>1657</v>
      </c>
      <c r="C27" s="338">
        <v>79910.0</v>
      </c>
      <c r="D27" s="338"/>
      <c r="E27" s="337" t="s">
        <v>1644</v>
      </c>
      <c r="F27" s="337" t="s">
        <v>1658</v>
      </c>
      <c r="G27" s="340"/>
      <c r="H27" s="340"/>
      <c r="I27" s="337" t="s">
        <v>1622</v>
      </c>
      <c r="J27" s="337" t="s">
        <v>1659</v>
      </c>
      <c r="K27" s="337" t="s">
        <v>1660</v>
      </c>
      <c r="L27" s="341"/>
      <c r="M27" s="341"/>
      <c r="N27" s="341"/>
      <c r="O27" s="341"/>
      <c r="P27" s="341"/>
      <c r="Q27" s="341"/>
      <c r="R27" s="341"/>
      <c r="S27" s="341"/>
      <c r="T27" s="341"/>
      <c r="U27" s="341"/>
      <c r="V27" s="341"/>
      <c r="W27" s="341"/>
      <c r="X27" s="341"/>
      <c r="Y27" s="341"/>
      <c r="Z27" s="341"/>
      <c r="AA27" s="341"/>
      <c r="AB27" s="341"/>
      <c r="AC27" s="341"/>
    </row>
    <row r="28" ht="22.5" customHeight="1">
      <c r="A28" s="342"/>
      <c r="B28" s="343" t="s">
        <v>1661</v>
      </c>
      <c r="C28" s="344">
        <v>120000.0</v>
      </c>
      <c r="D28" s="344">
        <v>150000.0</v>
      </c>
      <c r="E28" s="343" t="s">
        <v>1644</v>
      </c>
      <c r="F28" s="343" t="s">
        <v>1662</v>
      </c>
      <c r="G28" s="345"/>
      <c r="H28" s="345"/>
      <c r="I28" s="343" t="s">
        <v>1622</v>
      </c>
      <c r="J28" s="343" t="s">
        <v>1663</v>
      </c>
      <c r="K28" s="343" t="s">
        <v>1664</v>
      </c>
      <c r="L28" s="346"/>
      <c r="M28" s="346"/>
      <c r="N28" s="346"/>
      <c r="O28" s="346"/>
      <c r="P28" s="346"/>
      <c r="Q28" s="346"/>
      <c r="R28" s="346"/>
      <c r="S28" s="346"/>
      <c r="T28" s="346"/>
      <c r="U28" s="346"/>
      <c r="V28" s="346"/>
      <c r="W28" s="346"/>
      <c r="X28" s="346"/>
      <c r="Y28" s="346"/>
      <c r="Z28" s="346"/>
      <c r="AA28" s="346"/>
      <c r="AB28" s="346"/>
      <c r="AC28" s="346"/>
    </row>
    <row r="29" ht="22.5" customHeight="1">
      <c r="A29" s="347"/>
      <c r="B29" s="348" t="s">
        <v>337</v>
      </c>
      <c r="C29" s="349">
        <v>117644.0</v>
      </c>
      <c r="D29" s="349">
        <v>200000.0</v>
      </c>
      <c r="E29" s="350"/>
      <c r="F29" s="348" t="s">
        <v>1665</v>
      </c>
      <c r="G29" s="350"/>
      <c r="H29" s="350"/>
      <c r="I29" s="348" t="s">
        <v>1639</v>
      </c>
      <c r="J29" s="348" t="s">
        <v>1666</v>
      </c>
      <c r="K29" s="348" t="s">
        <v>1667</v>
      </c>
      <c r="L29" s="351"/>
      <c r="M29" s="351"/>
      <c r="N29" s="351"/>
      <c r="O29" s="351"/>
      <c r="P29" s="351"/>
      <c r="Q29" s="351"/>
      <c r="R29" s="351"/>
      <c r="S29" s="351"/>
      <c r="T29" s="351"/>
      <c r="U29" s="351"/>
      <c r="V29" s="351"/>
      <c r="W29" s="351"/>
      <c r="X29" s="351"/>
      <c r="Y29" s="351"/>
      <c r="Z29" s="351"/>
      <c r="AA29" s="351"/>
      <c r="AB29" s="351"/>
      <c r="AC29" s="351"/>
    </row>
    <row r="30" ht="22.5" customHeight="1">
      <c r="A30" s="2"/>
      <c r="B30" s="352" t="s">
        <v>1668</v>
      </c>
      <c r="C30" s="329"/>
      <c r="D30" s="329">
        <v>200000.0</v>
      </c>
      <c r="E30" s="353"/>
      <c r="F30" s="353"/>
      <c r="G30" s="353"/>
      <c r="H30" s="353"/>
      <c r="I30" s="352"/>
      <c r="J30" s="353"/>
      <c r="K30" s="353"/>
      <c r="L30" s="2"/>
      <c r="M30" s="2"/>
      <c r="N30" s="2"/>
      <c r="O30" s="2"/>
      <c r="P30" s="2"/>
      <c r="Q30" s="2"/>
      <c r="R30" s="2"/>
      <c r="S30" s="2"/>
      <c r="T30" s="2"/>
      <c r="U30" s="2"/>
      <c r="V30" s="2"/>
      <c r="W30" s="2"/>
      <c r="X30" s="2"/>
      <c r="Y30" s="2"/>
      <c r="Z30" s="2"/>
      <c r="AA30" s="2"/>
      <c r="AB30" s="2"/>
      <c r="AC30" s="2"/>
    </row>
    <row r="31" ht="22.5" customHeight="1">
      <c r="A31" s="341"/>
      <c r="B31" s="337" t="s">
        <v>1439</v>
      </c>
      <c r="C31" s="338">
        <v>77500.0</v>
      </c>
      <c r="D31" s="338"/>
      <c r="E31" s="337" t="s">
        <v>1669</v>
      </c>
      <c r="F31" s="337" t="s">
        <v>1665</v>
      </c>
      <c r="G31" s="337" t="s">
        <v>1035</v>
      </c>
      <c r="H31" s="337" t="s">
        <v>1035</v>
      </c>
      <c r="I31" s="337" t="s">
        <v>1665</v>
      </c>
      <c r="J31" s="337" t="s">
        <v>1670</v>
      </c>
      <c r="K31" s="340"/>
      <c r="L31" s="341"/>
      <c r="M31" s="341"/>
      <c r="N31" s="341"/>
      <c r="O31" s="341"/>
      <c r="P31" s="341"/>
      <c r="Q31" s="341"/>
      <c r="R31" s="341"/>
      <c r="S31" s="341"/>
      <c r="T31" s="341"/>
      <c r="U31" s="341"/>
      <c r="V31" s="341"/>
      <c r="W31" s="341"/>
      <c r="X31" s="341"/>
      <c r="Y31" s="341"/>
      <c r="Z31" s="341"/>
      <c r="AA31" s="341"/>
      <c r="AB31" s="341"/>
      <c r="AC31" s="341"/>
    </row>
    <row r="32" ht="22.5" customHeight="1">
      <c r="A32" s="341"/>
      <c r="B32" s="337" t="s">
        <v>465</v>
      </c>
      <c r="C32" s="338">
        <v>67003.0</v>
      </c>
      <c r="D32" s="338">
        <v>0.0</v>
      </c>
      <c r="E32" s="337" t="s">
        <v>1671</v>
      </c>
      <c r="F32" s="340"/>
      <c r="G32" s="340"/>
      <c r="H32" s="340"/>
      <c r="I32" s="337"/>
      <c r="J32" s="337" t="s">
        <v>1672</v>
      </c>
      <c r="K32" s="337"/>
      <c r="L32" s="341"/>
      <c r="M32" s="341"/>
      <c r="N32" s="341"/>
      <c r="O32" s="341"/>
      <c r="P32" s="341"/>
      <c r="Q32" s="341"/>
      <c r="R32" s="341"/>
      <c r="S32" s="341"/>
      <c r="T32" s="341"/>
      <c r="U32" s="341"/>
      <c r="V32" s="341"/>
      <c r="W32" s="341"/>
      <c r="X32" s="341"/>
      <c r="Y32" s="341"/>
      <c r="Z32" s="341"/>
      <c r="AA32" s="341"/>
      <c r="AB32" s="341"/>
      <c r="AC32" s="341"/>
    </row>
    <row r="33" ht="22.5" customHeight="1">
      <c r="A33" s="341"/>
      <c r="B33" s="337" t="s">
        <v>1673</v>
      </c>
      <c r="C33" s="338">
        <f>157350+100000</f>
        <v>257350</v>
      </c>
      <c r="D33" s="338">
        <v>0.0</v>
      </c>
      <c r="E33" s="340"/>
      <c r="F33" s="340"/>
      <c r="G33" s="340"/>
      <c r="H33" s="340"/>
      <c r="I33" s="337" t="s">
        <v>1622</v>
      </c>
      <c r="J33" s="337" t="s">
        <v>1674</v>
      </c>
      <c r="K33" s="340"/>
      <c r="L33" s="341"/>
      <c r="M33" s="341"/>
      <c r="N33" s="341"/>
      <c r="O33" s="341"/>
      <c r="P33" s="341"/>
      <c r="Q33" s="341"/>
      <c r="R33" s="341"/>
      <c r="S33" s="341"/>
      <c r="T33" s="341"/>
      <c r="U33" s="341"/>
      <c r="V33" s="341"/>
      <c r="W33" s="341"/>
      <c r="X33" s="341"/>
      <c r="Y33" s="341"/>
      <c r="Z33" s="341"/>
      <c r="AA33" s="341"/>
      <c r="AB33" s="341"/>
      <c r="AC33" s="341"/>
    </row>
    <row r="34" ht="22.5" customHeight="1">
      <c r="A34" s="341"/>
      <c r="B34" s="337" t="s">
        <v>1675</v>
      </c>
      <c r="C34" s="338">
        <f>73000+20251</f>
        <v>93251</v>
      </c>
      <c r="D34" s="338">
        <v>0.0</v>
      </c>
      <c r="E34" s="340"/>
      <c r="F34" s="337" t="s">
        <v>1665</v>
      </c>
      <c r="G34" s="340"/>
      <c r="H34" s="340"/>
      <c r="I34" s="337" t="s">
        <v>1622</v>
      </c>
      <c r="J34" s="337" t="s">
        <v>1674</v>
      </c>
      <c r="K34" s="340"/>
      <c r="L34" s="341"/>
      <c r="M34" s="341"/>
      <c r="N34" s="341"/>
      <c r="O34" s="341"/>
      <c r="P34" s="341"/>
      <c r="Q34" s="341"/>
      <c r="R34" s="341"/>
      <c r="S34" s="341"/>
      <c r="T34" s="341"/>
      <c r="U34" s="341"/>
      <c r="V34" s="341"/>
      <c r="W34" s="341"/>
      <c r="X34" s="341"/>
      <c r="Y34" s="341"/>
      <c r="Z34" s="341"/>
      <c r="AA34" s="341"/>
      <c r="AB34" s="341"/>
      <c r="AC34" s="341"/>
    </row>
    <row r="35" ht="22.5" customHeight="1">
      <c r="A35" s="2"/>
      <c r="B35" s="324"/>
      <c r="C35" s="354"/>
      <c r="D35" s="354"/>
      <c r="E35" s="324"/>
      <c r="F35" s="324"/>
      <c r="G35" s="324"/>
      <c r="H35" s="324"/>
      <c r="I35" s="324"/>
      <c r="J35" s="324"/>
      <c r="K35" s="324"/>
      <c r="L35" s="2"/>
      <c r="M35" s="2"/>
      <c r="N35" s="2"/>
      <c r="O35" s="2"/>
      <c r="P35" s="2"/>
      <c r="Q35" s="2"/>
      <c r="R35" s="2"/>
      <c r="S35" s="2"/>
      <c r="T35" s="2"/>
      <c r="U35" s="2"/>
      <c r="V35" s="2"/>
      <c r="W35" s="2"/>
      <c r="X35" s="2"/>
      <c r="Y35" s="2"/>
      <c r="Z35" s="2"/>
      <c r="AA35" s="2"/>
      <c r="AB35" s="2"/>
      <c r="AC35" s="2"/>
    </row>
    <row r="36" ht="22.5" customHeight="1">
      <c r="A36" s="2"/>
      <c r="B36" s="332" t="s">
        <v>1468</v>
      </c>
      <c r="C36" s="355">
        <f t="shared" ref="C36:D36" si="2">SUM(C23:C35)</f>
        <v>1858717</v>
      </c>
      <c r="D36" s="355">
        <f t="shared" si="2"/>
        <v>1000000</v>
      </c>
      <c r="E36" s="334"/>
      <c r="F36" s="335" t="s">
        <v>1676</v>
      </c>
      <c r="G36" s="334"/>
      <c r="H36" s="334"/>
      <c r="I36" s="334"/>
      <c r="J36" s="334"/>
      <c r="K36" s="334"/>
      <c r="L36" s="2"/>
      <c r="M36" s="2"/>
      <c r="N36" s="2"/>
      <c r="O36" s="2"/>
      <c r="P36" s="2"/>
      <c r="Q36" s="2"/>
      <c r="R36" s="2"/>
      <c r="S36" s="2"/>
      <c r="T36" s="2"/>
      <c r="U36" s="2"/>
      <c r="V36" s="2"/>
      <c r="W36" s="2"/>
      <c r="X36" s="2"/>
      <c r="Y36" s="2"/>
      <c r="Z36" s="2"/>
      <c r="AA36" s="2"/>
      <c r="AB36" s="2"/>
      <c r="AC36" s="2"/>
    </row>
    <row r="37">
      <c r="A37" s="331"/>
      <c r="B37" s="2"/>
      <c r="C37" s="2"/>
      <c r="D37" s="2"/>
      <c r="E37" s="2"/>
      <c r="F37" s="2"/>
      <c r="G37" s="2"/>
      <c r="H37" s="2"/>
      <c r="I37" s="2"/>
      <c r="J37" s="2"/>
      <c r="K37" s="2"/>
      <c r="L37" s="331"/>
      <c r="M37" s="331"/>
      <c r="N37" s="331"/>
      <c r="O37" s="331"/>
      <c r="P37" s="331"/>
      <c r="Q37" s="331"/>
      <c r="R37" s="331"/>
      <c r="S37" s="331"/>
      <c r="T37" s="331"/>
      <c r="U37" s="331"/>
      <c r="V37" s="331"/>
      <c r="W37" s="331"/>
      <c r="X37" s="331"/>
      <c r="Y37" s="331"/>
      <c r="Z37" s="331"/>
      <c r="AA37" s="331"/>
      <c r="AB37" s="331"/>
      <c r="AC37" s="331"/>
    </row>
    <row r="38">
      <c r="A38" s="2"/>
      <c r="B38" s="319"/>
      <c r="C38" s="319"/>
      <c r="D38" s="319"/>
      <c r="E38" s="319"/>
      <c r="F38" s="319"/>
      <c r="G38" s="319"/>
      <c r="H38" s="319"/>
      <c r="I38" s="319"/>
      <c r="J38" s="319"/>
      <c r="K38" s="319"/>
      <c r="L38" s="2"/>
      <c r="M38" s="2"/>
      <c r="N38" s="2"/>
      <c r="O38" s="2"/>
      <c r="P38" s="2"/>
      <c r="Q38" s="2"/>
      <c r="R38" s="2"/>
      <c r="S38" s="2"/>
      <c r="T38" s="2"/>
      <c r="U38" s="2"/>
      <c r="V38" s="2"/>
      <c r="W38" s="2"/>
      <c r="X38" s="2"/>
      <c r="Y38" s="2"/>
      <c r="Z38" s="2"/>
      <c r="AA38" s="2"/>
      <c r="AB38" s="2"/>
      <c r="AC38" s="2"/>
    </row>
    <row r="39" ht="22.5" customHeight="1">
      <c r="A39" s="2"/>
      <c r="B39" s="320" t="s">
        <v>4</v>
      </c>
      <c r="C39" s="320" t="s">
        <v>1559</v>
      </c>
      <c r="D39" s="320" t="s">
        <v>1558</v>
      </c>
      <c r="E39" s="320" t="s">
        <v>1402</v>
      </c>
      <c r="F39" s="320" t="s">
        <v>1560</v>
      </c>
      <c r="G39" s="320" t="s">
        <v>1404</v>
      </c>
      <c r="H39" s="320" t="s">
        <v>1405</v>
      </c>
      <c r="I39" s="320" t="s">
        <v>1406</v>
      </c>
      <c r="J39" s="320" t="s">
        <v>1407</v>
      </c>
      <c r="K39" s="320" t="s">
        <v>326</v>
      </c>
      <c r="L39" s="2"/>
      <c r="M39" s="2"/>
      <c r="N39" s="2"/>
      <c r="O39" s="2"/>
      <c r="P39" s="2"/>
      <c r="Q39" s="2"/>
      <c r="R39" s="2"/>
      <c r="S39" s="2"/>
      <c r="T39" s="2"/>
      <c r="U39" s="2"/>
      <c r="V39" s="2"/>
      <c r="W39" s="2"/>
      <c r="X39" s="2"/>
      <c r="Y39" s="2"/>
      <c r="Z39" s="2"/>
      <c r="AA39" s="2"/>
      <c r="AB39" s="2"/>
      <c r="AC39" s="2"/>
    </row>
    <row r="40" ht="22.5" customHeight="1">
      <c r="A40" s="351"/>
      <c r="B40" s="348" t="s">
        <v>1444</v>
      </c>
      <c r="C40" s="356"/>
      <c r="D40" s="356"/>
      <c r="E40" s="356"/>
      <c r="F40" s="356"/>
      <c r="G40" s="356"/>
      <c r="H40" s="356"/>
      <c r="I40" s="356"/>
      <c r="J40" s="348" t="s">
        <v>1677</v>
      </c>
      <c r="K40" s="356"/>
      <c r="L40" s="351"/>
      <c r="M40" s="351"/>
      <c r="N40" s="351"/>
      <c r="O40" s="351"/>
      <c r="P40" s="351"/>
      <c r="Q40" s="351"/>
      <c r="R40" s="351"/>
      <c r="S40" s="351"/>
      <c r="T40" s="351"/>
      <c r="U40" s="351"/>
      <c r="V40" s="351"/>
      <c r="W40" s="351"/>
      <c r="X40" s="351"/>
      <c r="Y40" s="351"/>
      <c r="Z40" s="351"/>
      <c r="AA40" s="351"/>
      <c r="AB40" s="351"/>
      <c r="AC40" s="351"/>
    </row>
    <row r="41" ht="22.5" customHeight="1">
      <c r="A41" s="2"/>
      <c r="B41" s="357" t="s">
        <v>1678</v>
      </c>
      <c r="C41" s="323" t="s">
        <v>1679</v>
      </c>
      <c r="D41" s="358"/>
      <c r="E41" s="358"/>
      <c r="F41" s="358"/>
      <c r="G41" s="358"/>
      <c r="H41" s="358"/>
      <c r="I41" s="358"/>
      <c r="J41" s="358"/>
      <c r="K41" s="358"/>
      <c r="L41" s="2"/>
      <c r="M41" s="2"/>
      <c r="N41" s="2"/>
      <c r="O41" s="2"/>
      <c r="P41" s="2"/>
      <c r="Q41" s="2"/>
      <c r="R41" s="2"/>
      <c r="S41" s="2"/>
      <c r="T41" s="2"/>
      <c r="U41" s="2"/>
      <c r="V41" s="2"/>
      <c r="W41" s="2"/>
      <c r="X41" s="2"/>
      <c r="Y41" s="2"/>
      <c r="Z41" s="2"/>
      <c r="AA41" s="2"/>
      <c r="AB41" s="2"/>
      <c r="AC41" s="2"/>
    </row>
    <row r="42" ht="22.5" customHeight="1">
      <c r="A42" s="2"/>
      <c r="B42" s="357" t="s">
        <v>1680</v>
      </c>
      <c r="C42" s="321" t="s">
        <v>1681</v>
      </c>
      <c r="D42" s="358"/>
      <c r="E42" s="358"/>
      <c r="F42" s="358"/>
      <c r="G42" s="358"/>
      <c r="H42" s="358"/>
      <c r="I42" s="358"/>
      <c r="J42" s="358"/>
      <c r="K42" s="358"/>
      <c r="L42" s="2"/>
      <c r="M42" s="2"/>
      <c r="N42" s="2"/>
      <c r="O42" s="2"/>
      <c r="P42" s="2"/>
      <c r="Q42" s="2"/>
      <c r="R42" s="2"/>
      <c r="S42" s="2"/>
      <c r="T42" s="2"/>
      <c r="U42" s="2"/>
      <c r="V42" s="2"/>
      <c r="W42" s="2"/>
      <c r="X42" s="2"/>
      <c r="Y42" s="2"/>
      <c r="Z42" s="2"/>
      <c r="AA42" s="2"/>
      <c r="AB42" s="2"/>
      <c r="AC42" s="2"/>
    </row>
    <row r="43" ht="22.5" customHeight="1">
      <c r="A43" s="2"/>
      <c r="B43" s="357" t="s">
        <v>1682</v>
      </c>
      <c r="C43" s="321" t="s">
        <v>1683</v>
      </c>
      <c r="D43" s="358"/>
      <c r="E43" s="358"/>
      <c r="F43" s="358"/>
      <c r="G43" s="358"/>
      <c r="H43" s="358"/>
      <c r="I43" s="358"/>
      <c r="J43" s="358"/>
      <c r="K43" s="358"/>
      <c r="L43" s="2"/>
      <c r="M43" s="2"/>
      <c r="N43" s="2"/>
      <c r="O43" s="2"/>
      <c r="P43" s="2"/>
      <c r="Q43" s="2"/>
      <c r="R43" s="2"/>
      <c r="S43" s="2"/>
      <c r="T43" s="2"/>
      <c r="U43" s="2"/>
      <c r="V43" s="2"/>
      <c r="W43" s="2"/>
      <c r="X43" s="2"/>
      <c r="Y43" s="2"/>
      <c r="Z43" s="2"/>
      <c r="AA43" s="2"/>
      <c r="AB43" s="2"/>
      <c r="AC43" s="2"/>
    </row>
    <row r="44" ht="22.5" customHeight="1">
      <c r="A44" s="351"/>
      <c r="B44" s="348" t="s">
        <v>1684</v>
      </c>
      <c r="C44" s="359" t="s">
        <v>1685</v>
      </c>
      <c r="D44" s="356"/>
      <c r="E44" s="348" t="s">
        <v>1686</v>
      </c>
      <c r="F44" s="356"/>
      <c r="G44" s="356"/>
      <c r="H44" s="356"/>
      <c r="I44" s="359" t="s">
        <v>1687</v>
      </c>
      <c r="J44" s="348" t="s">
        <v>1688</v>
      </c>
      <c r="K44" s="348" t="s">
        <v>1689</v>
      </c>
      <c r="L44" s="351"/>
      <c r="M44" s="351"/>
      <c r="N44" s="351"/>
      <c r="O44" s="351"/>
      <c r="P44" s="351"/>
      <c r="Q44" s="351"/>
      <c r="R44" s="351"/>
      <c r="S44" s="351"/>
      <c r="T44" s="351"/>
      <c r="U44" s="351"/>
      <c r="V44" s="351"/>
      <c r="W44" s="351"/>
      <c r="X44" s="351"/>
      <c r="Y44" s="351"/>
      <c r="Z44" s="351"/>
      <c r="AA44" s="351"/>
      <c r="AB44" s="351"/>
      <c r="AC44" s="351"/>
    </row>
    <row r="45" ht="22.5" customHeight="1">
      <c r="A45" s="2"/>
      <c r="B45" s="323" t="s">
        <v>1690</v>
      </c>
      <c r="C45" s="358"/>
      <c r="D45" s="358"/>
      <c r="E45" s="358"/>
      <c r="F45" s="358"/>
      <c r="G45" s="358"/>
      <c r="H45" s="358"/>
      <c r="I45" s="358"/>
      <c r="J45" s="358"/>
      <c r="K45" s="358"/>
      <c r="L45" s="2"/>
      <c r="M45" s="2"/>
      <c r="N45" s="2"/>
      <c r="O45" s="2"/>
      <c r="P45" s="2"/>
      <c r="Q45" s="2"/>
      <c r="R45" s="2"/>
      <c r="S45" s="2"/>
      <c r="T45" s="2"/>
      <c r="U45" s="2"/>
      <c r="V45" s="2"/>
      <c r="W45" s="2"/>
      <c r="X45" s="2"/>
      <c r="Y45" s="2"/>
      <c r="Z45" s="2"/>
      <c r="AA45" s="2"/>
      <c r="AB45" s="2"/>
      <c r="AC45" s="2"/>
    </row>
    <row r="46" ht="22.5" customHeight="1">
      <c r="A46" s="2"/>
      <c r="B46" s="323" t="s">
        <v>615</v>
      </c>
      <c r="C46" s="358"/>
      <c r="D46" s="358"/>
      <c r="E46" s="358"/>
      <c r="F46" s="358"/>
      <c r="G46" s="358"/>
      <c r="H46" s="358"/>
      <c r="I46" s="358"/>
      <c r="J46" s="358"/>
      <c r="K46" s="358"/>
      <c r="L46" s="2"/>
      <c r="M46" s="2"/>
      <c r="N46" s="2"/>
      <c r="O46" s="2"/>
      <c r="P46" s="2"/>
      <c r="Q46" s="2"/>
      <c r="R46" s="2"/>
      <c r="S46" s="2"/>
      <c r="T46" s="2"/>
      <c r="U46" s="2"/>
      <c r="V46" s="2"/>
      <c r="W46" s="2"/>
      <c r="X46" s="2"/>
      <c r="Y46" s="2"/>
      <c r="Z46" s="2"/>
      <c r="AA46" s="2"/>
      <c r="AB46" s="2"/>
      <c r="AC46" s="2"/>
    </row>
    <row r="47" ht="22.5" customHeight="1">
      <c r="A47" s="351"/>
      <c r="B47" s="348" t="s">
        <v>1691</v>
      </c>
      <c r="C47" s="356"/>
      <c r="D47" s="356"/>
      <c r="E47" s="348" t="s">
        <v>1692</v>
      </c>
      <c r="F47" s="356"/>
      <c r="G47" s="356"/>
      <c r="H47" s="356"/>
      <c r="I47" s="356"/>
      <c r="J47" s="348" t="s">
        <v>1693</v>
      </c>
      <c r="K47" s="356"/>
      <c r="L47" s="351"/>
      <c r="M47" s="351"/>
      <c r="N47" s="351"/>
      <c r="O47" s="351"/>
      <c r="P47" s="351"/>
      <c r="Q47" s="351"/>
      <c r="R47" s="351"/>
      <c r="S47" s="351"/>
      <c r="T47" s="351"/>
      <c r="U47" s="351"/>
      <c r="V47" s="351"/>
      <c r="W47" s="351"/>
      <c r="X47" s="351"/>
      <c r="Y47" s="351"/>
      <c r="Z47" s="351"/>
      <c r="AA47" s="351"/>
      <c r="AB47" s="351"/>
      <c r="AC47" s="351"/>
    </row>
    <row r="48" ht="22.5" customHeight="1">
      <c r="A48" s="351"/>
      <c r="B48" s="348" t="s">
        <v>1581</v>
      </c>
      <c r="C48" s="359" t="s">
        <v>1694</v>
      </c>
      <c r="D48" s="356"/>
      <c r="E48" s="348" t="s">
        <v>1695</v>
      </c>
      <c r="F48" s="359" t="s">
        <v>1696</v>
      </c>
      <c r="G48" s="356"/>
      <c r="H48" s="356"/>
      <c r="I48" s="356"/>
      <c r="J48" s="348" t="s">
        <v>1697</v>
      </c>
      <c r="K48" s="356"/>
      <c r="L48" s="351"/>
      <c r="M48" s="351"/>
      <c r="N48" s="351"/>
      <c r="O48" s="351"/>
      <c r="P48" s="351"/>
      <c r="Q48" s="351"/>
      <c r="R48" s="351"/>
      <c r="S48" s="351"/>
      <c r="T48" s="351"/>
      <c r="U48" s="351"/>
      <c r="V48" s="351"/>
      <c r="W48" s="351"/>
      <c r="X48" s="351"/>
      <c r="Y48" s="351"/>
      <c r="Z48" s="351"/>
      <c r="AA48" s="351"/>
      <c r="AB48" s="351"/>
      <c r="AC48" s="351"/>
    </row>
    <row r="49" ht="22.5" customHeight="1">
      <c r="A49" s="2"/>
      <c r="B49" s="323" t="s">
        <v>1698</v>
      </c>
      <c r="C49" s="358"/>
      <c r="D49" s="358"/>
      <c r="E49" s="358"/>
      <c r="F49" s="358"/>
      <c r="G49" s="358"/>
      <c r="H49" s="358"/>
      <c r="I49" s="358"/>
      <c r="J49" s="358"/>
      <c r="K49" s="358"/>
      <c r="L49" s="2"/>
      <c r="M49" s="2"/>
      <c r="N49" s="2"/>
      <c r="O49" s="2"/>
      <c r="P49" s="2"/>
      <c r="Q49" s="2"/>
      <c r="R49" s="2"/>
      <c r="S49" s="2"/>
      <c r="T49" s="2"/>
      <c r="U49" s="2"/>
      <c r="V49" s="2"/>
      <c r="W49" s="2"/>
      <c r="X49" s="2"/>
      <c r="Y49" s="2"/>
      <c r="Z49" s="2"/>
      <c r="AA49" s="2"/>
      <c r="AB49" s="2"/>
      <c r="AC49" s="2"/>
    </row>
    <row r="50" ht="22.5" customHeight="1">
      <c r="A50" s="351"/>
      <c r="B50" s="348" t="s">
        <v>1699</v>
      </c>
      <c r="C50" s="359" t="s">
        <v>1685</v>
      </c>
      <c r="D50" s="356"/>
      <c r="E50" s="348" t="s">
        <v>1700</v>
      </c>
      <c r="F50" s="356"/>
      <c r="G50" s="356"/>
      <c r="H50" s="356"/>
      <c r="I50" s="356"/>
      <c r="J50" s="356"/>
      <c r="K50" s="356"/>
      <c r="L50" s="351"/>
      <c r="M50" s="351"/>
      <c r="N50" s="351"/>
      <c r="O50" s="351"/>
      <c r="P50" s="351"/>
      <c r="Q50" s="351"/>
      <c r="R50" s="351"/>
      <c r="S50" s="351"/>
      <c r="T50" s="351"/>
      <c r="U50" s="351"/>
      <c r="V50" s="351"/>
      <c r="W50" s="351"/>
      <c r="X50" s="351"/>
      <c r="Y50" s="351"/>
      <c r="Z50" s="351"/>
      <c r="AA50" s="351"/>
      <c r="AB50" s="351"/>
      <c r="AC50" s="351"/>
    </row>
    <row r="51" ht="22.5" customHeight="1">
      <c r="A51" s="346"/>
      <c r="B51" s="343" t="s">
        <v>1701</v>
      </c>
      <c r="C51" s="360"/>
      <c r="D51" s="360"/>
      <c r="E51" s="360"/>
      <c r="F51" s="343"/>
      <c r="G51" s="360"/>
      <c r="H51" s="360"/>
      <c r="I51" s="361" t="s">
        <v>367</v>
      </c>
      <c r="J51" s="343" t="s">
        <v>1702</v>
      </c>
      <c r="K51" s="360"/>
      <c r="L51" s="346"/>
      <c r="M51" s="346"/>
      <c r="N51" s="346"/>
      <c r="O51" s="346"/>
      <c r="P51" s="346"/>
      <c r="Q51" s="346"/>
      <c r="R51" s="346"/>
      <c r="S51" s="346"/>
      <c r="T51" s="346"/>
      <c r="U51" s="346"/>
      <c r="V51" s="346"/>
      <c r="W51" s="346"/>
      <c r="X51" s="346"/>
      <c r="Y51" s="346"/>
      <c r="Z51" s="346"/>
      <c r="AA51" s="346"/>
      <c r="AB51" s="346"/>
      <c r="AC51" s="346"/>
    </row>
    <row r="52" ht="22.5" customHeight="1">
      <c r="A52" s="2"/>
      <c r="B52" s="323" t="s">
        <v>1703</v>
      </c>
      <c r="C52" s="321" t="s">
        <v>1704</v>
      </c>
      <c r="D52" s="358"/>
      <c r="E52" s="358"/>
      <c r="F52" s="358"/>
      <c r="G52" s="358"/>
      <c r="H52" s="358"/>
      <c r="I52" s="321" t="s">
        <v>70</v>
      </c>
      <c r="J52" s="358"/>
      <c r="K52" s="358"/>
      <c r="L52" s="2"/>
      <c r="M52" s="2"/>
      <c r="N52" s="2"/>
      <c r="O52" s="2"/>
      <c r="P52" s="2"/>
      <c r="Q52" s="2"/>
      <c r="R52" s="2"/>
      <c r="S52" s="2"/>
      <c r="T52" s="2"/>
      <c r="U52" s="2"/>
      <c r="V52" s="2"/>
      <c r="W52" s="2"/>
      <c r="X52" s="2"/>
      <c r="Y52" s="2"/>
      <c r="Z52" s="2"/>
      <c r="AA52" s="2"/>
      <c r="AB52" s="2"/>
      <c r="AC52" s="2"/>
    </row>
    <row r="53" ht="22.5" customHeight="1">
      <c r="A53" s="2"/>
      <c r="B53" s="323" t="s">
        <v>233</v>
      </c>
      <c r="C53" s="358"/>
      <c r="D53" s="358"/>
      <c r="E53" s="358"/>
      <c r="F53" s="358"/>
      <c r="G53" s="358"/>
      <c r="H53" s="358"/>
      <c r="I53" s="358"/>
      <c r="J53" s="358"/>
      <c r="K53" s="358"/>
      <c r="L53" s="2"/>
      <c r="M53" s="2"/>
      <c r="N53" s="2"/>
      <c r="O53" s="2"/>
      <c r="P53" s="2"/>
      <c r="Q53" s="2"/>
      <c r="R53" s="2"/>
      <c r="S53" s="2"/>
      <c r="T53" s="2"/>
      <c r="U53" s="2"/>
      <c r="V53" s="2"/>
      <c r="W53" s="2"/>
      <c r="X53" s="2"/>
      <c r="Y53" s="2"/>
      <c r="Z53" s="2"/>
      <c r="AA53" s="2"/>
      <c r="AB53" s="2"/>
      <c r="AC53" s="2"/>
    </row>
    <row r="54" ht="22.5" customHeight="1">
      <c r="A54" s="2"/>
      <c r="B54" s="335" t="s">
        <v>1705</v>
      </c>
      <c r="C54" s="362"/>
      <c r="D54" s="362"/>
      <c r="E54" s="362"/>
      <c r="F54" s="362"/>
      <c r="G54" s="362"/>
      <c r="H54" s="362"/>
      <c r="I54" s="362"/>
      <c r="J54" s="362"/>
      <c r="K54" s="362"/>
      <c r="L54" s="2"/>
      <c r="M54" s="2"/>
      <c r="N54" s="2"/>
      <c r="O54" s="2"/>
      <c r="P54" s="2"/>
      <c r="Q54" s="2"/>
      <c r="R54" s="2"/>
      <c r="S54" s="2"/>
      <c r="T54" s="2"/>
      <c r="U54" s="2"/>
      <c r="V54" s="2"/>
      <c r="W54" s="2"/>
      <c r="X54" s="2"/>
      <c r="Y54" s="2"/>
      <c r="Z54" s="2"/>
      <c r="AA54" s="2"/>
      <c r="AB54" s="2"/>
      <c r="AC54" s="2"/>
    </row>
    <row r="55" ht="22.5" customHeight="1">
      <c r="A55" s="2"/>
      <c r="B55" s="335" t="s">
        <v>1706</v>
      </c>
      <c r="C55" s="362"/>
      <c r="D55" s="362"/>
      <c r="E55" s="362"/>
      <c r="F55" s="362"/>
      <c r="G55" s="362"/>
      <c r="H55" s="362"/>
      <c r="I55" s="362"/>
      <c r="J55" s="362"/>
      <c r="K55" s="362"/>
      <c r="L55" s="2"/>
      <c r="M55" s="2"/>
      <c r="N55" s="2"/>
      <c r="O55" s="2"/>
      <c r="P55" s="2"/>
      <c r="Q55" s="2"/>
      <c r="R55" s="2"/>
      <c r="S55" s="2"/>
      <c r="T55" s="2"/>
      <c r="U55" s="2"/>
      <c r="V55" s="2"/>
      <c r="W55" s="2"/>
      <c r="X55" s="2"/>
      <c r="Y55" s="2"/>
      <c r="Z55" s="2"/>
      <c r="AA55" s="2"/>
      <c r="AB55" s="2"/>
      <c r="AC55" s="2"/>
    </row>
    <row r="56" ht="22.5" customHeight="1">
      <c r="A56" s="2"/>
      <c r="B56" s="335" t="s">
        <v>1707</v>
      </c>
      <c r="C56" s="362"/>
      <c r="D56" s="362"/>
      <c r="E56" s="362"/>
      <c r="F56" s="362"/>
      <c r="G56" s="362"/>
      <c r="H56" s="362"/>
      <c r="I56" s="362"/>
      <c r="J56" s="362"/>
      <c r="K56" s="362"/>
      <c r="L56" s="2"/>
      <c r="M56" s="2"/>
      <c r="N56" s="2"/>
      <c r="O56" s="2"/>
      <c r="P56" s="2"/>
      <c r="Q56" s="2"/>
      <c r="R56" s="2"/>
      <c r="S56" s="2"/>
      <c r="T56" s="2"/>
      <c r="U56" s="2"/>
      <c r="V56" s="2"/>
      <c r="W56" s="2"/>
      <c r="X56" s="2"/>
      <c r="Y56" s="2"/>
      <c r="Z56" s="2"/>
      <c r="AA56" s="2"/>
      <c r="AB56" s="2"/>
      <c r="AC56" s="2"/>
    </row>
    <row r="57" ht="22.5" customHeight="1">
      <c r="A57" s="2"/>
      <c r="B57" s="335" t="s">
        <v>1708</v>
      </c>
      <c r="C57" s="362"/>
      <c r="D57" s="362"/>
      <c r="E57" s="362"/>
      <c r="F57" s="362"/>
      <c r="G57" s="362"/>
      <c r="H57" s="362"/>
      <c r="I57" s="362"/>
      <c r="J57" s="362"/>
      <c r="K57" s="362"/>
      <c r="L57" s="2"/>
      <c r="M57" s="2"/>
      <c r="N57" s="2"/>
      <c r="O57" s="2"/>
      <c r="P57" s="2"/>
      <c r="Q57" s="2"/>
      <c r="R57" s="2"/>
      <c r="S57" s="2"/>
      <c r="T57" s="2"/>
      <c r="U57" s="2"/>
      <c r="V57" s="2"/>
      <c r="W57" s="2"/>
      <c r="X57" s="2"/>
      <c r="Y57" s="2"/>
      <c r="Z57" s="2"/>
      <c r="AA57" s="2"/>
      <c r="AB57" s="2"/>
      <c r="AC57" s="2"/>
    </row>
    <row r="58" ht="22.5" customHeight="1">
      <c r="A58" s="2"/>
      <c r="B58" s="335" t="s">
        <v>1709</v>
      </c>
      <c r="C58" s="362"/>
      <c r="D58" s="362"/>
      <c r="E58" s="362"/>
      <c r="F58" s="362"/>
      <c r="G58" s="362"/>
      <c r="H58" s="362"/>
      <c r="I58" s="362"/>
      <c r="J58" s="362"/>
      <c r="K58" s="362"/>
      <c r="L58" s="2"/>
      <c r="M58" s="2"/>
      <c r="N58" s="2"/>
      <c r="O58" s="2"/>
      <c r="P58" s="2"/>
      <c r="Q58" s="2"/>
      <c r="R58" s="2"/>
      <c r="S58" s="2"/>
      <c r="T58" s="2"/>
      <c r="U58" s="2"/>
      <c r="V58" s="2"/>
      <c r="W58" s="2"/>
      <c r="X58" s="2"/>
      <c r="Y58" s="2"/>
      <c r="Z58" s="2"/>
      <c r="AA58" s="2"/>
      <c r="AB58" s="2"/>
      <c r="AC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c r="A60" s="2"/>
      <c r="B60" s="363" t="s">
        <v>1710</v>
      </c>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c r="A61" s="351"/>
      <c r="B61" s="364" t="s">
        <v>1711</v>
      </c>
      <c r="C61" s="365"/>
      <c r="D61" s="365"/>
      <c r="E61" s="365"/>
      <c r="F61" s="365"/>
      <c r="G61" s="365"/>
      <c r="H61" s="365"/>
      <c r="I61" s="365"/>
      <c r="J61" s="364" t="s">
        <v>1712</v>
      </c>
      <c r="K61" s="364" t="s">
        <v>1713</v>
      </c>
      <c r="L61" s="351"/>
      <c r="M61" s="351"/>
      <c r="N61" s="351"/>
      <c r="O61" s="351"/>
      <c r="P61" s="351"/>
      <c r="Q61" s="351"/>
      <c r="R61" s="351"/>
      <c r="S61" s="351"/>
      <c r="T61" s="351"/>
      <c r="U61" s="351"/>
      <c r="V61" s="351"/>
      <c r="W61" s="351"/>
      <c r="X61" s="351"/>
      <c r="Y61" s="351"/>
      <c r="Z61" s="351"/>
      <c r="AA61" s="351"/>
      <c r="AB61" s="351"/>
      <c r="AC61" s="351"/>
    </row>
    <row r="62">
      <c r="A62" s="351"/>
      <c r="B62" s="364" t="s">
        <v>1714</v>
      </c>
      <c r="C62" s="365"/>
      <c r="D62" s="365"/>
      <c r="E62" s="365"/>
      <c r="F62" s="365"/>
      <c r="G62" s="365"/>
      <c r="H62" s="365"/>
      <c r="I62" s="365"/>
      <c r="J62" s="364" t="s">
        <v>1715</v>
      </c>
      <c r="K62" s="364" t="s">
        <v>1716</v>
      </c>
      <c r="L62" s="351"/>
      <c r="M62" s="351"/>
      <c r="N62" s="351"/>
      <c r="O62" s="351"/>
      <c r="P62" s="351"/>
      <c r="Q62" s="351"/>
      <c r="R62" s="351"/>
      <c r="S62" s="351"/>
      <c r="T62" s="351"/>
      <c r="U62" s="351"/>
      <c r="V62" s="351"/>
      <c r="W62" s="351"/>
      <c r="X62" s="351"/>
      <c r="Y62" s="351"/>
      <c r="Z62" s="351"/>
      <c r="AA62" s="351"/>
      <c r="AB62" s="351"/>
      <c r="AC62" s="351"/>
    </row>
    <row r="63">
      <c r="A63" s="351"/>
      <c r="B63" s="364" t="s">
        <v>631</v>
      </c>
      <c r="C63" s="365"/>
      <c r="D63" s="365"/>
      <c r="E63" s="365"/>
      <c r="F63" s="365"/>
      <c r="G63" s="365"/>
      <c r="H63" s="365"/>
      <c r="I63" s="365"/>
      <c r="J63" s="364" t="s">
        <v>1717</v>
      </c>
      <c r="K63" s="364" t="s">
        <v>1718</v>
      </c>
      <c r="L63" s="351"/>
      <c r="M63" s="351"/>
      <c r="N63" s="351"/>
      <c r="O63" s="351"/>
      <c r="P63" s="351"/>
      <c r="Q63" s="351"/>
      <c r="R63" s="351"/>
      <c r="S63" s="351"/>
      <c r="T63" s="351"/>
      <c r="U63" s="351"/>
      <c r="V63" s="351"/>
      <c r="W63" s="351"/>
      <c r="X63" s="351"/>
      <c r="Y63" s="351"/>
      <c r="Z63" s="351"/>
      <c r="AA63" s="351"/>
      <c r="AB63" s="351"/>
      <c r="AC63" s="351"/>
    </row>
    <row r="64">
      <c r="A64" s="2"/>
      <c r="B64" s="366" t="s">
        <v>1719</v>
      </c>
      <c r="C64" s="367"/>
      <c r="D64" s="367"/>
      <c r="E64" s="367"/>
      <c r="F64" s="367"/>
      <c r="G64" s="367"/>
      <c r="H64" s="367"/>
      <c r="I64" s="367"/>
      <c r="J64" s="367"/>
      <c r="K64" s="366" t="s">
        <v>1720</v>
      </c>
      <c r="L64" s="2"/>
      <c r="M64" s="2"/>
      <c r="N64" s="2"/>
      <c r="O64" s="2"/>
      <c r="P64" s="2"/>
      <c r="Q64" s="2"/>
      <c r="R64" s="2"/>
      <c r="S64" s="2"/>
      <c r="T64" s="2"/>
      <c r="U64" s="2"/>
      <c r="V64" s="2"/>
      <c r="W64" s="2"/>
      <c r="X64" s="2"/>
      <c r="Y64" s="2"/>
      <c r="Z64" s="2"/>
      <c r="AA64" s="2"/>
      <c r="AB64" s="2"/>
      <c r="AC64" s="2"/>
    </row>
    <row r="65">
      <c r="A65" s="2"/>
      <c r="B65" s="366" t="s">
        <v>1721</v>
      </c>
      <c r="C65" s="367"/>
      <c r="D65" s="367"/>
      <c r="E65" s="367"/>
      <c r="F65" s="367"/>
      <c r="G65" s="367"/>
      <c r="H65" s="367"/>
      <c r="I65" s="367"/>
      <c r="J65" s="366" t="s">
        <v>1722</v>
      </c>
      <c r="K65" s="366" t="s">
        <v>1723</v>
      </c>
      <c r="L65" s="2"/>
      <c r="M65" s="2"/>
      <c r="N65" s="2"/>
      <c r="O65" s="2"/>
      <c r="P65" s="2"/>
      <c r="Q65" s="2"/>
      <c r="R65" s="2"/>
      <c r="S65" s="2"/>
      <c r="T65" s="2"/>
      <c r="U65" s="2"/>
      <c r="V65" s="2"/>
      <c r="W65" s="2"/>
      <c r="X65" s="2"/>
      <c r="Y65" s="2"/>
      <c r="Z65" s="2"/>
      <c r="AA65" s="2"/>
      <c r="AB65" s="2"/>
      <c r="AC65" s="2"/>
    </row>
    <row r="66">
      <c r="A66" s="2"/>
      <c r="B66" s="366" t="s">
        <v>1724</v>
      </c>
      <c r="C66" s="367"/>
      <c r="D66" s="367"/>
      <c r="E66" s="367"/>
      <c r="F66" s="367"/>
      <c r="G66" s="367"/>
      <c r="H66" s="367"/>
      <c r="I66" s="367"/>
      <c r="J66" s="366" t="s">
        <v>1725</v>
      </c>
      <c r="K66" s="366" t="s">
        <v>1726</v>
      </c>
      <c r="L66" s="2"/>
      <c r="M66" s="2"/>
      <c r="N66" s="2"/>
      <c r="O66" s="2"/>
      <c r="P66" s="2"/>
      <c r="Q66" s="2"/>
      <c r="R66" s="2"/>
      <c r="S66" s="2"/>
      <c r="T66" s="2"/>
      <c r="U66" s="2"/>
      <c r="V66" s="2"/>
      <c r="W66" s="2"/>
      <c r="X66" s="2"/>
      <c r="Y66" s="2"/>
      <c r="Z66" s="2"/>
      <c r="AA66" s="2"/>
      <c r="AB66" s="2"/>
      <c r="AC66" s="2"/>
    </row>
    <row r="67">
      <c r="A67" s="2"/>
      <c r="B67" s="366" t="s">
        <v>1727</v>
      </c>
      <c r="C67" s="367"/>
      <c r="D67" s="367"/>
      <c r="E67" s="367"/>
      <c r="F67" s="367"/>
      <c r="G67" s="367"/>
      <c r="H67" s="367"/>
      <c r="I67" s="367"/>
      <c r="J67" s="366" t="s">
        <v>1728</v>
      </c>
      <c r="K67" s="366" t="s">
        <v>1729</v>
      </c>
      <c r="L67" s="2"/>
      <c r="M67" s="2"/>
      <c r="N67" s="2"/>
      <c r="O67" s="2"/>
      <c r="P67" s="2"/>
      <c r="Q67" s="2"/>
      <c r="R67" s="2"/>
      <c r="S67" s="2"/>
      <c r="T67" s="2"/>
      <c r="U67" s="2"/>
      <c r="V67" s="2"/>
      <c r="W67" s="2"/>
      <c r="X67" s="2"/>
      <c r="Y67" s="2"/>
      <c r="Z67" s="2"/>
      <c r="AA67" s="2"/>
      <c r="AB67" s="2"/>
      <c r="AC67" s="2"/>
    </row>
    <row r="68">
      <c r="A68" s="2"/>
      <c r="B68" s="366" t="s">
        <v>1730</v>
      </c>
      <c r="C68" s="367"/>
      <c r="D68" s="367"/>
      <c r="E68" s="367"/>
      <c r="F68" s="367"/>
      <c r="G68" s="367"/>
      <c r="H68" s="367"/>
      <c r="I68" s="367"/>
      <c r="J68" s="366" t="s">
        <v>1731</v>
      </c>
      <c r="K68" s="366" t="s">
        <v>1732</v>
      </c>
      <c r="L68" s="2"/>
      <c r="M68" s="2"/>
      <c r="N68" s="2"/>
      <c r="O68" s="2"/>
      <c r="P68" s="2"/>
      <c r="Q68" s="2"/>
      <c r="R68" s="2"/>
      <c r="S68" s="2"/>
      <c r="T68" s="2"/>
      <c r="U68" s="2"/>
      <c r="V68" s="2"/>
      <c r="W68" s="2"/>
      <c r="X68" s="2"/>
      <c r="Y68" s="2"/>
      <c r="Z68" s="2"/>
      <c r="AA68" s="2"/>
      <c r="AB68" s="2"/>
      <c r="AC68" s="2"/>
    </row>
    <row r="69">
      <c r="A69" s="2"/>
      <c r="B69" s="366" t="s">
        <v>1733</v>
      </c>
      <c r="C69" s="367"/>
      <c r="D69" s="367"/>
      <c r="E69" s="367"/>
      <c r="F69" s="367"/>
      <c r="G69" s="367"/>
      <c r="H69" s="367"/>
      <c r="I69" s="367"/>
      <c r="J69" s="366" t="s">
        <v>1734</v>
      </c>
      <c r="K69" s="366" t="s">
        <v>1735</v>
      </c>
      <c r="L69" s="2"/>
      <c r="M69" s="2"/>
      <c r="N69" s="2"/>
      <c r="O69" s="2"/>
      <c r="P69" s="2"/>
      <c r="Q69" s="2"/>
      <c r="R69" s="2"/>
      <c r="S69" s="2"/>
      <c r="T69" s="2"/>
      <c r="U69" s="2"/>
      <c r="V69" s="2"/>
      <c r="W69" s="2"/>
      <c r="X69" s="2"/>
      <c r="Y69" s="2"/>
      <c r="Z69" s="2"/>
      <c r="AA69" s="2"/>
      <c r="AB69" s="2"/>
      <c r="AC69" s="2"/>
    </row>
    <row r="70">
      <c r="A70" s="2"/>
      <c r="B70" s="366" t="s">
        <v>520</v>
      </c>
      <c r="C70" s="367"/>
      <c r="D70" s="367"/>
      <c r="E70" s="367"/>
      <c r="F70" s="367"/>
      <c r="G70" s="367"/>
      <c r="H70" s="367"/>
      <c r="I70" s="367"/>
      <c r="J70" s="366" t="s">
        <v>1736</v>
      </c>
      <c r="K70" s="366" t="s">
        <v>1737</v>
      </c>
      <c r="L70" s="2"/>
      <c r="M70" s="2"/>
      <c r="N70" s="2"/>
      <c r="O70" s="2"/>
      <c r="P70" s="2"/>
      <c r="Q70" s="2"/>
      <c r="R70" s="2"/>
      <c r="S70" s="2"/>
      <c r="T70" s="2"/>
      <c r="U70" s="2"/>
      <c r="V70" s="2"/>
      <c r="W70" s="2"/>
      <c r="X70" s="2"/>
      <c r="Y70" s="2"/>
      <c r="Z70" s="2"/>
      <c r="AA70" s="2"/>
      <c r="AB70" s="2"/>
      <c r="AC70" s="2"/>
    </row>
    <row r="71">
      <c r="A71" s="2"/>
      <c r="B71" s="367"/>
      <c r="C71" s="367"/>
      <c r="D71" s="367"/>
      <c r="E71" s="367"/>
      <c r="F71" s="367"/>
      <c r="G71" s="367"/>
      <c r="H71" s="367"/>
      <c r="I71" s="367"/>
      <c r="J71" s="367"/>
      <c r="K71" s="367"/>
      <c r="L71" s="2"/>
      <c r="M71" s="2"/>
      <c r="N71" s="2"/>
      <c r="O71" s="2"/>
      <c r="P71" s="2"/>
      <c r="Q71" s="2"/>
      <c r="R71" s="2"/>
      <c r="S71" s="2"/>
      <c r="T71" s="2"/>
      <c r="U71" s="2"/>
      <c r="V71" s="2"/>
      <c r="W71" s="2"/>
      <c r="X71" s="2"/>
      <c r="Y71" s="2"/>
      <c r="Z71" s="2"/>
      <c r="AA71" s="2"/>
      <c r="AB71" s="2"/>
      <c r="AC71" s="2"/>
    </row>
    <row r="72">
      <c r="A72" s="2"/>
      <c r="B72" s="367"/>
      <c r="C72" s="367"/>
      <c r="D72" s="367"/>
      <c r="E72" s="367"/>
      <c r="F72" s="367"/>
      <c r="G72" s="367"/>
      <c r="H72" s="367"/>
      <c r="I72" s="367"/>
      <c r="J72" s="367"/>
      <c r="K72" s="367"/>
      <c r="L72" s="2"/>
      <c r="M72" s="2"/>
      <c r="N72" s="2"/>
      <c r="O72" s="2"/>
      <c r="P72" s="2"/>
      <c r="Q72" s="2"/>
      <c r="R72" s="2"/>
      <c r="S72" s="2"/>
      <c r="T72" s="2"/>
      <c r="U72" s="2"/>
      <c r="V72" s="2"/>
      <c r="W72" s="2"/>
      <c r="X72" s="2"/>
      <c r="Y72" s="2"/>
      <c r="Z72" s="2"/>
      <c r="AA72" s="2"/>
      <c r="AB72" s="2"/>
      <c r="AC72" s="2"/>
    </row>
    <row r="73">
      <c r="A73" s="2"/>
      <c r="B73" s="367"/>
      <c r="C73" s="367"/>
      <c r="D73" s="367"/>
      <c r="E73" s="367"/>
      <c r="F73" s="367"/>
      <c r="G73" s="367"/>
      <c r="H73" s="367"/>
      <c r="I73" s="367"/>
      <c r="J73" s="367"/>
      <c r="K73" s="367"/>
      <c r="L73" s="2"/>
      <c r="M73" s="2"/>
      <c r="N73" s="2"/>
      <c r="O73" s="2"/>
      <c r="P73" s="2"/>
      <c r="Q73" s="2"/>
      <c r="R73" s="2"/>
      <c r="S73" s="2"/>
      <c r="T73" s="2"/>
      <c r="U73" s="2"/>
      <c r="V73" s="2"/>
      <c r="W73" s="2"/>
      <c r="X73" s="2"/>
      <c r="Y73" s="2"/>
      <c r="Z73" s="2"/>
      <c r="AA73" s="2"/>
      <c r="AB73" s="2"/>
      <c r="AC73" s="2"/>
    </row>
    <row r="74">
      <c r="A74" s="2"/>
      <c r="B74" s="367"/>
      <c r="C74" s="367"/>
      <c r="D74" s="367"/>
      <c r="E74" s="367"/>
      <c r="F74" s="367"/>
      <c r="G74" s="367"/>
      <c r="H74" s="367"/>
      <c r="I74" s="367"/>
      <c r="J74" s="367"/>
      <c r="K74" s="367"/>
      <c r="L74" s="2"/>
      <c r="M74" s="2"/>
      <c r="N74" s="2"/>
      <c r="O74" s="2"/>
      <c r="P74" s="2"/>
      <c r="Q74" s="2"/>
      <c r="R74" s="2"/>
      <c r="S74" s="2"/>
      <c r="T74" s="2"/>
      <c r="U74" s="2"/>
      <c r="V74" s="2"/>
      <c r="W74" s="2"/>
      <c r="X74" s="2"/>
      <c r="Y74" s="2"/>
      <c r="Z74" s="2"/>
      <c r="AA74" s="2"/>
      <c r="AB74" s="2"/>
      <c r="AC74" s="2"/>
    </row>
    <row r="75">
      <c r="A75" s="2"/>
      <c r="B75" s="367"/>
      <c r="C75" s="367"/>
      <c r="D75" s="367"/>
      <c r="E75" s="367"/>
      <c r="F75" s="367"/>
      <c r="G75" s="367"/>
      <c r="H75" s="367"/>
      <c r="I75" s="367"/>
      <c r="J75" s="367"/>
      <c r="K75" s="367"/>
      <c r="L75" s="2"/>
      <c r="M75" s="2"/>
      <c r="N75" s="2"/>
      <c r="O75" s="2"/>
      <c r="P75" s="2"/>
      <c r="Q75" s="2"/>
      <c r="R75" s="2"/>
      <c r="S75" s="2"/>
      <c r="T75" s="2"/>
      <c r="U75" s="2"/>
      <c r="V75" s="2"/>
      <c r="W75" s="2"/>
      <c r="X75" s="2"/>
      <c r="Y75" s="2"/>
      <c r="Z75" s="2"/>
      <c r="AA75" s="2"/>
      <c r="AB75" s="2"/>
      <c r="AC75" s="2"/>
    </row>
    <row r="76">
      <c r="A76" s="2"/>
      <c r="B76" s="367"/>
      <c r="C76" s="367"/>
      <c r="D76" s="367"/>
      <c r="E76" s="367"/>
      <c r="F76" s="367"/>
      <c r="G76" s="367"/>
      <c r="H76" s="367"/>
      <c r="I76" s="367"/>
      <c r="J76" s="367"/>
      <c r="K76" s="367"/>
      <c r="L76" s="2"/>
      <c r="M76" s="2"/>
      <c r="N76" s="2"/>
      <c r="O76" s="2"/>
      <c r="P76" s="2"/>
      <c r="Q76" s="2"/>
      <c r="R76" s="2"/>
      <c r="S76" s="2"/>
      <c r="T76" s="2"/>
      <c r="U76" s="2"/>
      <c r="V76" s="2"/>
      <c r="W76" s="2"/>
      <c r="X76" s="2"/>
      <c r="Y76" s="2"/>
      <c r="Z76" s="2"/>
      <c r="AA76" s="2"/>
      <c r="AB76" s="2"/>
      <c r="AC76" s="2"/>
    </row>
    <row r="77">
      <c r="A77" s="2"/>
      <c r="B77" s="367"/>
      <c r="C77" s="367"/>
      <c r="D77" s="367"/>
      <c r="E77" s="367"/>
      <c r="F77" s="367"/>
      <c r="G77" s="367"/>
      <c r="H77" s="367"/>
      <c r="I77" s="367"/>
      <c r="J77" s="367"/>
      <c r="K77" s="367"/>
      <c r="L77" s="2"/>
      <c r="M77" s="2"/>
      <c r="N77" s="2"/>
      <c r="O77" s="2"/>
      <c r="P77" s="2"/>
      <c r="Q77" s="2"/>
      <c r="R77" s="2"/>
      <c r="S77" s="2"/>
      <c r="T77" s="2"/>
      <c r="U77" s="2"/>
      <c r="V77" s="2"/>
      <c r="W77" s="2"/>
      <c r="X77" s="2"/>
      <c r="Y77" s="2"/>
      <c r="Z77" s="2"/>
      <c r="AA77" s="2"/>
      <c r="AB77" s="2"/>
      <c r="AC77" s="2"/>
    </row>
    <row r="78">
      <c r="A78" s="2"/>
      <c r="B78" s="367"/>
      <c r="C78" s="367"/>
      <c r="D78" s="367"/>
      <c r="E78" s="367"/>
      <c r="F78" s="367"/>
      <c r="G78" s="367"/>
      <c r="H78" s="367"/>
      <c r="I78" s="367"/>
      <c r="J78" s="367"/>
      <c r="K78" s="367"/>
      <c r="L78" s="2"/>
      <c r="M78" s="2"/>
      <c r="N78" s="2"/>
      <c r="O78" s="2"/>
      <c r="P78" s="2"/>
      <c r="Q78" s="2"/>
      <c r="R78" s="2"/>
      <c r="S78" s="2"/>
      <c r="T78" s="2"/>
      <c r="U78" s="2"/>
      <c r="V78" s="2"/>
      <c r="W78" s="2"/>
      <c r="X78" s="2"/>
      <c r="Y78" s="2"/>
      <c r="Z78" s="2"/>
      <c r="AA78" s="2"/>
      <c r="AB78" s="2"/>
      <c r="AC78" s="2"/>
    </row>
    <row r="79">
      <c r="A79" s="2"/>
      <c r="B79" s="367"/>
      <c r="C79" s="367"/>
      <c r="D79" s="367"/>
      <c r="E79" s="367"/>
      <c r="F79" s="367"/>
      <c r="G79" s="367"/>
      <c r="H79" s="367"/>
      <c r="I79" s="367"/>
      <c r="J79" s="367"/>
      <c r="K79" s="367"/>
      <c r="L79" s="2"/>
      <c r="M79" s="2"/>
      <c r="N79" s="2"/>
      <c r="O79" s="2"/>
      <c r="P79" s="2"/>
      <c r="Q79" s="2"/>
      <c r="R79" s="2"/>
      <c r="S79" s="2"/>
      <c r="T79" s="2"/>
      <c r="U79" s="2"/>
      <c r="V79" s="2"/>
      <c r="W79" s="2"/>
      <c r="X79" s="2"/>
      <c r="Y79" s="2"/>
      <c r="Z79" s="2"/>
      <c r="AA79" s="2"/>
      <c r="AB79" s="2"/>
      <c r="AC79" s="2"/>
    </row>
    <row r="80">
      <c r="A80" s="2"/>
      <c r="B80" s="367"/>
      <c r="C80" s="367"/>
      <c r="D80" s="367"/>
      <c r="E80" s="367"/>
      <c r="F80" s="367"/>
      <c r="G80" s="367"/>
      <c r="H80" s="367"/>
      <c r="I80" s="367"/>
      <c r="J80" s="367"/>
      <c r="K80" s="367"/>
      <c r="L80" s="2"/>
      <c r="M80" s="2"/>
      <c r="N80" s="2"/>
      <c r="O80" s="2"/>
      <c r="P80" s="2"/>
      <c r="Q80" s="2"/>
      <c r="R80" s="2"/>
      <c r="S80" s="2"/>
      <c r="T80" s="2"/>
      <c r="U80" s="2"/>
      <c r="V80" s="2"/>
      <c r="W80" s="2"/>
      <c r="X80" s="2"/>
      <c r="Y80" s="2"/>
      <c r="Z80" s="2"/>
      <c r="AA80" s="2"/>
      <c r="AB80" s="2"/>
      <c r="AC80" s="2"/>
    </row>
    <row r="81">
      <c r="A81" s="2"/>
      <c r="B81" s="367"/>
      <c r="C81" s="367"/>
      <c r="D81" s="367"/>
      <c r="E81" s="367"/>
      <c r="F81" s="367"/>
      <c r="G81" s="367"/>
      <c r="H81" s="367"/>
      <c r="I81" s="367"/>
      <c r="J81" s="367"/>
      <c r="K81" s="367"/>
      <c r="L81" s="2"/>
      <c r="M81" s="2"/>
      <c r="N81" s="2"/>
      <c r="O81" s="2"/>
      <c r="P81" s="2"/>
      <c r="Q81" s="2"/>
      <c r="R81" s="2"/>
      <c r="S81" s="2"/>
      <c r="T81" s="2"/>
      <c r="U81" s="2"/>
      <c r="V81" s="2"/>
      <c r="W81" s="2"/>
      <c r="X81" s="2"/>
      <c r="Y81" s="2"/>
      <c r="Z81" s="2"/>
      <c r="AA81" s="2"/>
      <c r="AB81" s="2"/>
      <c r="AC81" s="2"/>
    </row>
    <row r="82">
      <c r="A82" s="2"/>
      <c r="B82" s="367"/>
      <c r="C82" s="367"/>
      <c r="D82" s="367"/>
      <c r="E82" s="367"/>
      <c r="F82" s="367"/>
      <c r="G82" s="367"/>
      <c r="H82" s="367"/>
      <c r="I82" s="367"/>
      <c r="J82" s="367"/>
      <c r="K82" s="367"/>
      <c r="L82" s="2"/>
      <c r="M82" s="2"/>
      <c r="N82" s="2"/>
      <c r="O82" s="2"/>
      <c r="P82" s="2"/>
      <c r="Q82" s="2"/>
      <c r="R82" s="2"/>
      <c r="S82" s="2"/>
      <c r="T82" s="2"/>
      <c r="U82" s="2"/>
      <c r="V82" s="2"/>
      <c r="W82" s="2"/>
      <c r="X82" s="2"/>
      <c r="Y82" s="2"/>
      <c r="Z82" s="2"/>
      <c r="AA82" s="2"/>
      <c r="AB82" s="2"/>
      <c r="AC82" s="2"/>
    </row>
    <row r="83">
      <c r="A83" s="2"/>
      <c r="B83" s="367"/>
      <c r="C83" s="367"/>
      <c r="D83" s="367"/>
      <c r="E83" s="367"/>
      <c r="F83" s="367"/>
      <c r="G83" s="367"/>
      <c r="H83" s="367"/>
      <c r="I83" s="367"/>
      <c r="J83" s="367"/>
      <c r="K83" s="367"/>
      <c r="L83" s="2"/>
      <c r="M83" s="2"/>
      <c r="N83" s="2"/>
      <c r="O83" s="2"/>
      <c r="P83" s="2"/>
      <c r="Q83" s="2"/>
      <c r="R83" s="2"/>
      <c r="S83" s="2"/>
      <c r="T83" s="2"/>
      <c r="U83" s="2"/>
      <c r="V83" s="2"/>
      <c r="W83" s="2"/>
      <c r="X83" s="2"/>
      <c r="Y83" s="2"/>
      <c r="Z83" s="2"/>
      <c r="AA83" s="2"/>
      <c r="AB83" s="2"/>
      <c r="AC83" s="2"/>
    </row>
    <row r="84">
      <c r="A84" s="2"/>
      <c r="B84" s="367"/>
      <c r="C84" s="367"/>
      <c r="D84" s="367"/>
      <c r="E84" s="367"/>
      <c r="F84" s="367"/>
      <c r="G84" s="367"/>
      <c r="H84" s="367"/>
      <c r="I84" s="367"/>
      <c r="J84" s="367"/>
      <c r="K84" s="367"/>
      <c r="L84" s="2"/>
      <c r="M84" s="2"/>
      <c r="N84" s="2"/>
      <c r="O84" s="2"/>
      <c r="P84" s="2"/>
      <c r="Q84" s="2"/>
      <c r="R84" s="2"/>
      <c r="S84" s="2"/>
      <c r="T84" s="2"/>
      <c r="U84" s="2"/>
      <c r="V84" s="2"/>
      <c r="W84" s="2"/>
      <c r="X84" s="2"/>
      <c r="Y84" s="2"/>
      <c r="Z84" s="2"/>
      <c r="AA84" s="2"/>
      <c r="AB84" s="2"/>
      <c r="AC84" s="2"/>
    </row>
    <row r="85">
      <c r="A85" s="2"/>
      <c r="B85" s="367"/>
      <c r="C85" s="367"/>
      <c r="D85" s="367"/>
      <c r="E85" s="367"/>
      <c r="F85" s="367"/>
      <c r="G85" s="367"/>
      <c r="H85" s="367"/>
      <c r="I85" s="367"/>
      <c r="J85" s="367"/>
      <c r="K85" s="367"/>
      <c r="L85" s="2"/>
      <c r="M85" s="2"/>
      <c r="N85" s="2"/>
      <c r="O85" s="2"/>
      <c r="P85" s="2"/>
      <c r="Q85" s="2"/>
      <c r="R85" s="2"/>
      <c r="S85" s="2"/>
      <c r="T85" s="2"/>
      <c r="U85" s="2"/>
      <c r="V85" s="2"/>
      <c r="W85" s="2"/>
      <c r="X85" s="2"/>
      <c r="Y85" s="2"/>
      <c r="Z85" s="2"/>
      <c r="AA85" s="2"/>
      <c r="AB85" s="2"/>
      <c r="AC85" s="2"/>
    </row>
    <row r="86">
      <c r="A86" s="2"/>
      <c r="B86" s="367"/>
      <c r="C86" s="367"/>
      <c r="D86" s="367"/>
      <c r="E86" s="367"/>
      <c r="F86" s="367"/>
      <c r="G86" s="367"/>
      <c r="H86" s="367"/>
      <c r="I86" s="367"/>
      <c r="J86" s="367"/>
      <c r="K86" s="367"/>
      <c r="L86" s="2"/>
      <c r="M86" s="2"/>
      <c r="N86" s="2"/>
      <c r="O86" s="2"/>
      <c r="P86" s="2"/>
      <c r="Q86" s="2"/>
      <c r="R86" s="2"/>
      <c r="S86" s="2"/>
      <c r="T86" s="2"/>
      <c r="U86" s="2"/>
      <c r="V86" s="2"/>
      <c r="W86" s="2"/>
      <c r="X86" s="2"/>
      <c r="Y86" s="2"/>
      <c r="Z86" s="2"/>
      <c r="AA86" s="2"/>
      <c r="AB86" s="2"/>
      <c r="AC86" s="2"/>
    </row>
    <row r="87">
      <c r="A87" s="2"/>
      <c r="B87" s="367"/>
      <c r="C87" s="367"/>
      <c r="D87" s="367"/>
      <c r="E87" s="367"/>
      <c r="F87" s="367"/>
      <c r="G87" s="367"/>
      <c r="H87" s="367"/>
      <c r="I87" s="367"/>
      <c r="J87" s="367"/>
      <c r="K87" s="367"/>
      <c r="L87" s="2"/>
      <c r="M87" s="2"/>
      <c r="N87" s="2"/>
      <c r="O87" s="2"/>
      <c r="P87" s="2"/>
      <c r="Q87" s="2"/>
      <c r="R87" s="2"/>
      <c r="S87" s="2"/>
      <c r="T87" s="2"/>
      <c r="U87" s="2"/>
      <c r="V87" s="2"/>
      <c r="W87" s="2"/>
      <c r="X87" s="2"/>
      <c r="Y87" s="2"/>
      <c r="Z87" s="2"/>
      <c r="AA87" s="2"/>
      <c r="AB87" s="2"/>
      <c r="AC87" s="2"/>
    </row>
    <row r="88">
      <c r="A88" s="2"/>
      <c r="B88" s="367"/>
      <c r="C88" s="367"/>
      <c r="D88" s="367"/>
      <c r="E88" s="367"/>
      <c r="F88" s="367"/>
      <c r="G88" s="367"/>
      <c r="H88" s="367"/>
      <c r="I88" s="367"/>
      <c r="J88" s="367"/>
      <c r="K88" s="367"/>
      <c r="L88" s="2"/>
      <c r="M88" s="2"/>
      <c r="N88" s="2"/>
      <c r="O88" s="2"/>
      <c r="P88" s="2"/>
      <c r="Q88" s="2"/>
      <c r="R88" s="2"/>
      <c r="S88" s="2"/>
      <c r="T88" s="2"/>
      <c r="U88" s="2"/>
      <c r="V88" s="2"/>
      <c r="W88" s="2"/>
      <c r="X88" s="2"/>
      <c r="Y88" s="2"/>
      <c r="Z88" s="2"/>
      <c r="AA88" s="2"/>
      <c r="AB88" s="2"/>
      <c r="AC88" s="2"/>
    </row>
    <row r="89">
      <c r="A89" s="2"/>
      <c r="B89" s="367"/>
      <c r="C89" s="367"/>
      <c r="D89" s="367"/>
      <c r="E89" s="367"/>
      <c r="F89" s="367"/>
      <c r="G89" s="367"/>
      <c r="H89" s="367"/>
      <c r="I89" s="367"/>
      <c r="J89" s="367"/>
      <c r="K89" s="367"/>
      <c r="L89" s="2"/>
      <c r="M89" s="2"/>
      <c r="N89" s="2"/>
      <c r="O89" s="2"/>
      <c r="P89" s="2"/>
      <c r="Q89" s="2"/>
      <c r="R89" s="2"/>
      <c r="S89" s="2"/>
      <c r="T89" s="2"/>
      <c r="U89" s="2"/>
      <c r="V89" s="2"/>
      <c r="W89" s="2"/>
      <c r="X89" s="2"/>
      <c r="Y89" s="2"/>
      <c r="Z89" s="2"/>
      <c r="AA89" s="2"/>
      <c r="AB89" s="2"/>
      <c r="AC89" s="2"/>
    </row>
    <row r="90">
      <c r="A90" s="2"/>
      <c r="B90" s="367"/>
      <c r="C90" s="367"/>
      <c r="D90" s="367"/>
      <c r="E90" s="367"/>
      <c r="F90" s="367"/>
      <c r="G90" s="367"/>
      <c r="H90" s="367"/>
      <c r="I90" s="367"/>
      <c r="J90" s="367"/>
      <c r="K90" s="367"/>
      <c r="L90" s="2"/>
      <c r="M90" s="2"/>
      <c r="N90" s="2"/>
      <c r="O90" s="2"/>
      <c r="P90" s="2"/>
      <c r="Q90" s="2"/>
      <c r="R90" s="2"/>
      <c r="S90" s="2"/>
      <c r="T90" s="2"/>
      <c r="U90" s="2"/>
      <c r="V90" s="2"/>
      <c r="W90" s="2"/>
      <c r="X90" s="2"/>
      <c r="Y90" s="2"/>
      <c r="Z90" s="2"/>
      <c r="AA90" s="2"/>
      <c r="AB90" s="2"/>
      <c r="AC90" s="2"/>
    </row>
    <row r="91">
      <c r="A91" s="2"/>
      <c r="B91" s="367"/>
      <c r="C91" s="367"/>
      <c r="D91" s="367"/>
      <c r="E91" s="367"/>
      <c r="F91" s="367"/>
      <c r="G91" s="367"/>
      <c r="H91" s="367"/>
      <c r="I91" s="367"/>
      <c r="J91" s="367"/>
      <c r="K91" s="367"/>
      <c r="L91" s="2"/>
      <c r="M91" s="2"/>
      <c r="N91" s="2"/>
      <c r="O91" s="2"/>
      <c r="P91" s="2"/>
      <c r="Q91" s="2"/>
      <c r="R91" s="2"/>
      <c r="S91" s="2"/>
      <c r="T91" s="2"/>
      <c r="U91" s="2"/>
      <c r="V91" s="2"/>
      <c r="W91" s="2"/>
      <c r="X91" s="2"/>
      <c r="Y91" s="2"/>
      <c r="Z91" s="2"/>
      <c r="AA91" s="2"/>
      <c r="AB91" s="2"/>
      <c r="AC91" s="2"/>
    </row>
    <row r="92">
      <c r="A92" s="2"/>
      <c r="B92" s="367"/>
      <c r="C92" s="367"/>
      <c r="D92" s="367"/>
      <c r="E92" s="367"/>
      <c r="F92" s="367"/>
      <c r="G92" s="367"/>
      <c r="H92" s="367"/>
      <c r="I92" s="367"/>
      <c r="J92" s="367"/>
      <c r="K92" s="367"/>
      <c r="L92" s="2"/>
      <c r="M92" s="2"/>
      <c r="N92" s="2"/>
      <c r="O92" s="2"/>
      <c r="P92" s="2"/>
      <c r="Q92" s="2"/>
      <c r="R92" s="2"/>
      <c r="S92" s="2"/>
      <c r="T92" s="2"/>
      <c r="U92" s="2"/>
      <c r="V92" s="2"/>
      <c r="W92" s="2"/>
      <c r="X92" s="2"/>
      <c r="Y92" s="2"/>
      <c r="Z92" s="2"/>
      <c r="AA92" s="2"/>
      <c r="AB92" s="2"/>
      <c r="AC92" s="2"/>
    </row>
    <row r="93">
      <c r="A93" s="2"/>
      <c r="B93" s="367"/>
      <c r="C93" s="367"/>
      <c r="D93" s="367"/>
      <c r="E93" s="367"/>
      <c r="F93" s="367"/>
      <c r="G93" s="367"/>
      <c r="H93" s="367"/>
      <c r="I93" s="367"/>
      <c r="J93" s="367"/>
      <c r="K93" s="367"/>
      <c r="L93" s="2"/>
      <c r="M93" s="2"/>
      <c r="N93" s="2"/>
      <c r="O93" s="2"/>
      <c r="P93" s="2"/>
      <c r="Q93" s="2"/>
      <c r="R93" s="2"/>
      <c r="S93" s="2"/>
      <c r="T93" s="2"/>
      <c r="U93" s="2"/>
      <c r="V93" s="2"/>
      <c r="W93" s="2"/>
      <c r="X93" s="2"/>
      <c r="Y93" s="2"/>
      <c r="Z93" s="2"/>
      <c r="AA93" s="2"/>
      <c r="AB93" s="2"/>
      <c r="AC93" s="2"/>
    </row>
    <row r="94">
      <c r="A94" s="2"/>
      <c r="B94" s="367"/>
      <c r="C94" s="367"/>
      <c r="D94" s="367"/>
      <c r="E94" s="367"/>
      <c r="F94" s="367"/>
      <c r="G94" s="367"/>
      <c r="H94" s="367"/>
      <c r="I94" s="367"/>
      <c r="J94" s="367"/>
      <c r="K94" s="367"/>
      <c r="L94" s="2"/>
      <c r="M94" s="2"/>
      <c r="N94" s="2"/>
      <c r="O94" s="2"/>
      <c r="P94" s="2"/>
      <c r="Q94" s="2"/>
      <c r="R94" s="2"/>
      <c r="S94" s="2"/>
      <c r="T94" s="2"/>
      <c r="U94" s="2"/>
      <c r="V94" s="2"/>
      <c r="W94" s="2"/>
      <c r="X94" s="2"/>
      <c r="Y94" s="2"/>
      <c r="Z94" s="2"/>
      <c r="AA94" s="2"/>
      <c r="AB94" s="2"/>
      <c r="AC94" s="2"/>
    </row>
    <row r="95">
      <c r="A95" s="2"/>
      <c r="B95" s="367"/>
      <c r="C95" s="367"/>
      <c r="D95" s="367"/>
      <c r="E95" s="367"/>
      <c r="F95" s="367"/>
      <c r="G95" s="367"/>
      <c r="H95" s="367"/>
      <c r="I95" s="367"/>
      <c r="J95" s="367"/>
      <c r="K95" s="367"/>
      <c r="L95" s="2"/>
      <c r="M95" s="2"/>
      <c r="N95" s="2"/>
      <c r="O95" s="2"/>
      <c r="P95" s="2"/>
      <c r="Q95" s="2"/>
      <c r="R95" s="2"/>
      <c r="S95" s="2"/>
      <c r="T95" s="2"/>
      <c r="U95" s="2"/>
      <c r="V95" s="2"/>
      <c r="W95" s="2"/>
      <c r="X95" s="2"/>
      <c r="Y95" s="2"/>
      <c r="Z95" s="2"/>
      <c r="AA95" s="2"/>
      <c r="AB95" s="2"/>
      <c r="AC95" s="2"/>
    </row>
    <row r="96">
      <c r="A96" s="2"/>
      <c r="B96" s="367"/>
      <c r="C96" s="367"/>
      <c r="D96" s="367"/>
      <c r="E96" s="367"/>
      <c r="F96" s="367"/>
      <c r="G96" s="367"/>
      <c r="H96" s="367"/>
      <c r="I96" s="367"/>
      <c r="J96" s="367"/>
      <c r="K96" s="367"/>
      <c r="L96" s="2"/>
      <c r="M96" s="2"/>
      <c r="N96" s="2"/>
      <c r="O96" s="2"/>
      <c r="P96" s="2"/>
      <c r="Q96" s="2"/>
      <c r="R96" s="2"/>
      <c r="S96" s="2"/>
      <c r="T96" s="2"/>
      <c r="U96" s="2"/>
      <c r="V96" s="2"/>
      <c r="W96" s="2"/>
      <c r="X96" s="2"/>
      <c r="Y96" s="2"/>
      <c r="Z96" s="2"/>
      <c r="AA96" s="2"/>
      <c r="AB96" s="2"/>
      <c r="AC96" s="2"/>
    </row>
    <row r="97">
      <c r="A97" s="2"/>
      <c r="B97" s="367"/>
      <c r="C97" s="367"/>
      <c r="D97" s="367"/>
      <c r="E97" s="367"/>
      <c r="F97" s="367"/>
      <c r="G97" s="367"/>
      <c r="H97" s="367"/>
      <c r="I97" s="367"/>
      <c r="J97" s="367"/>
      <c r="K97" s="367"/>
      <c r="L97" s="2"/>
      <c r="M97" s="2"/>
      <c r="N97" s="2"/>
      <c r="O97" s="2"/>
      <c r="P97" s="2"/>
      <c r="Q97" s="2"/>
      <c r="R97" s="2"/>
      <c r="S97" s="2"/>
      <c r="T97" s="2"/>
      <c r="U97" s="2"/>
      <c r="V97" s="2"/>
      <c r="W97" s="2"/>
      <c r="X97" s="2"/>
      <c r="Y97" s="2"/>
      <c r="Z97" s="2"/>
      <c r="AA97" s="2"/>
      <c r="AB97" s="2"/>
      <c r="AC97" s="2"/>
    </row>
    <row r="98">
      <c r="A98" s="2"/>
      <c r="B98" s="367"/>
      <c r="C98" s="367"/>
      <c r="D98" s="367"/>
      <c r="E98" s="367"/>
      <c r="F98" s="367"/>
      <c r="G98" s="367"/>
      <c r="H98" s="367"/>
      <c r="I98" s="367"/>
      <c r="J98" s="367"/>
      <c r="K98" s="367"/>
      <c r="L98" s="2"/>
      <c r="M98" s="2"/>
      <c r="N98" s="2"/>
      <c r="O98" s="2"/>
      <c r="P98" s="2"/>
      <c r="Q98" s="2"/>
      <c r="R98" s="2"/>
      <c r="S98" s="2"/>
      <c r="T98" s="2"/>
      <c r="U98" s="2"/>
      <c r="V98" s="2"/>
      <c r="W98" s="2"/>
      <c r="X98" s="2"/>
      <c r="Y98" s="2"/>
      <c r="Z98" s="2"/>
      <c r="AA98" s="2"/>
      <c r="AB98" s="2"/>
      <c r="AC98" s="2"/>
    </row>
    <row r="99">
      <c r="A99" s="2"/>
      <c r="B99" s="367"/>
      <c r="C99" s="367"/>
      <c r="D99" s="367"/>
      <c r="E99" s="367"/>
      <c r="F99" s="367"/>
      <c r="G99" s="367"/>
      <c r="H99" s="367"/>
      <c r="I99" s="367"/>
      <c r="J99" s="367"/>
      <c r="K99" s="367"/>
      <c r="L99" s="2"/>
      <c r="M99" s="2"/>
      <c r="N99" s="2"/>
      <c r="O99" s="2"/>
      <c r="P99" s="2"/>
      <c r="Q99" s="2"/>
      <c r="R99" s="2"/>
      <c r="S99" s="2"/>
      <c r="T99" s="2"/>
      <c r="U99" s="2"/>
      <c r="V99" s="2"/>
      <c r="W99" s="2"/>
      <c r="X99" s="2"/>
      <c r="Y99" s="2"/>
      <c r="Z99" s="2"/>
      <c r="AA99" s="2"/>
      <c r="AB99" s="2"/>
      <c r="AC99" s="2"/>
    </row>
    <row r="100">
      <c r="A100" s="2"/>
      <c r="B100" s="367"/>
      <c r="C100" s="367"/>
      <c r="D100" s="367"/>
      <c r="E100" s="367"/>
      <c r="F100" s="367"/>
      <c r="G100" s="367"/>
      <c r="H100" s="367"/>
      <c r="I100" s="367"/>
      <c r="J100" s="367"/>
      <c r="K100" s="367"/>
      <c r="L100" s="2"/>
      <c r="M100" s="2"/>
      <c r="N100" s="2"/>
      <c r="O100" s="2"/>
      <c r="P100" s="2"/>
      <c r="Q100" s="2"/>
      <c r="R100" s="2"/>
      <c r="S100" s="2"/>
      <c r="T100" s="2"/>
      <c r="U100" s="2"/>
      <c r="V100" s="2"/>
      <c r="W100" s="2"/>
      <c r="X100" s="2"/>
      <c r="Y100" s="2"/>
      <c r="Z100" s="2"/>
      <c r="AA100" s="2"/>
      <c r="AB100" s="2"/>
      <c r="AC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sheetData>
  <dataValidations>
    <dataValidation type="custom" allowBlank="1" showDropDown="1" sqref="C5:D19 C23:C36">
      <formula1>AND(ISNUMBER(C5),(NOT(OR(NOT(ISERROR(DATEVALUE(C5))), AND(ISNUMBER(C5), LEFT(CELL("format", C5))="D")))))</formula1>
    </dataValidation>
  </dataValidations>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3.38"/>
    <col customWidth="1" min="3" max="3" width="21.38"/>
    <col customWidth="1" min="4" max="4" width="23.75"/>
    <col customWidth="1" min="5" max="5" width="21.13"/>
    <col customWidth="1" min="6" max="6" width="25.13"/>
    <col customWidth="1" min="7" max="7" width="24.88"/>
    <col customWidth="1" min="8" max="8" width="28.25"/>
    <col customWidth="1" min="9" max="9" width="24.0"/>
    <col customWidth="1" min="10" max="10" width="27.25"/>
    <col customWidth="1" min="11" max="11" width="22.88"/>
  </cols>
  <sheetData>
    <row r="1">
      <c r="B1" s="368" t="s">
        <v>1738</v>
      </c>
    </row>
    <row r="3">
      <c r="B3" s="369"/>
      <c r="C3" s="369"/>
      <c r="D3" s="369"/>
      <c r="E3" s="369"/>
      <c r="F3" s="369"/>
      <c r="G3" s="369"/>
      <c r="H3" s="369"/>
      <c r="I3" s="369"/>
      <c r="J3" s="369"/>
      <c r="K3" s="369"/>
    </row>
    <row r="4" ht="22.5" customHeight="1">
      <c r="B4" s="370" t="s">
        <v>4</v>
      </c>
      <c r="C4" s="370" t="s">
        <v>1400</v>
      </c>
      <c r="D4" s="370" t="s">
        <v>1401</v>
      </c>
      <c r="E4" s="370" t="s">
        <v>1402</v>
      </c>
      <c r="F4" s="370" t="s">
        <v>1403</v>
      </c>
      <c r="G4" s="370" t="s">
        <v>1404</v>
      </c>
      <c r="H4" s="370" t="s">
        <v>1405</v>
      </c>
      <c r="I4" s="370" t="s">
        <v>1406</v>
      </c>
      <c r="J4" s="370" t="s">
        <v>1407</v>
      </c>
      <c r="K4" s="370" t="s">
        <v>326</v>
      </c>
    </row>
    <row r="5" ht="22.5" customHeight="1">
      <c r="B5" s="371" t="s">
        <v>1427</v>
      </c>
      <c r="C5" s="372">
        <v>3677817.0</v>
      </c>
      <c r="D5" s="372">
        <f>190000*2+10*250000+3*300000</f>
        <v>3780000</v>
      </c>
      <c r="E5" s="373" t="s">
        <v>1739</v>
      </c>
      <c r="F5" s="373" t="s">
        <v>1740</v>
      </c>
      <c r="G5" s="373" t="s">
        <v>1741</v>
      </c>
      <c r="H5" s="373" t="s">
        <v>1742</v>
      </c>
      <c r="I5" s="373" t="s">
        <v>1743</v>
      </c>
      <c r="J5" s="373" t="s">
        <v>1744</v>
      </c>
      <c r="K5" s="373" t="s">
        <v>1745</v>
      </c>
    </row>
    <row r="6" ht="22.5" customHeight="1">
      <c r="B6" s="371" t="s">
        <v>430</v>
      </c>
      <c r="C6" s="372">
        <v>970000.0</v>
      </c>
      <c r="D6" s="372">
        <f>500000*2</f>
        <v>1000000</v>
      </c>
      <c r="E6" s="374"/>
      <c r="F6" s="373" t="s">
        <v>1746</v>
      </c>
      <c r="G6" s="374"/>
      <c r="H6" s="374"/>
      <c r="I6" s="373" t="s">
        <v>418</v>
      </c>
      <c r="J6" s="373"/>
      <c r="K6" s="373" t="s">
        <v>1747</v>
      </c>
    </row>
    <row r="7" ht="22.5" customHeight="1">
      <c r="B7" s="371" t="s">
        <v>1748</v>
      </c>
      <c r="C7" s="372">
        <v>888788.0</v>
      </c>
      <c r="D7" s="372"/>
      <c r="E7" s="373" t="s">
        <v>1749</v>
      </c>
      <c r="F7" s="373"/>
      <c r="G7" s="374"/>
      <c r="H7" s="374"/>
      <c r="I7" s="373" t="s">
        <v>906</v>
      </c>
      <c r="J7" s="373" t="s">
        <v>1750</v>
      </c>
      <c r="K7" s="374"/>
    </row>
    <row r="8" ht="22.5" customHeight="1">
      <c r="B8" s="371" t="s">
        <v>296</v>
      </c>
      <c r="C8" s="372">
        <v>690000.0</v>
      </c>
      <c r="D8" s="372">
        <v>700000.0</v>
      </c>
      <c r="E8" s="374"/>
      <c r="F8" s="373" t="s">
        <v>1751</v>
      </c>
      <c r="G8" s="374"/>
      <c r="H8" s="373" t="s">
        <v>1752</v>
      </c>
      <c r="I8" s="373" t="s">
        <v>125</v>
      </c>
      <c r="J8" s="374"/>
      <c r="K8" s="374"/>
    </row>
    <row r="9" ht="22.5" customHeight="1">
      <c r="B9" s="375"/>
      <c r="C9" s="375"/>
      <c r="D9" s="375"/>
      <c r="E9" s="375"/>
      <c r="F9" s="375"/>
      <c r="G9" s="375"/>
      <c r="H9" s="375"/>
      <c r="I9" s="375"/>
      <c r="J9" s="375"/>
      <c r="K9" s="374"/>
    </row>
    <row r="10" ht="22.5" customHeight="1">
      <c r="B10" s="371"/>
      <c r="C10" s="372"/>
      <c r="D10" s="376"/>
      <c r="E10" s="374"/>
      <c r="F10" s="374"/>
      <c r="G10" s="374"/>
      <c r="H10" s="374"/>
      <c r="I10" s="374"/>
      <c r="J10" s="374"/>
      <c r="K10" s="374"/>
    </row>
    <row r="11" ht="22.5" customHeight="1">
      <c r="B11" s="371"/>
      <c r="C11" s="372"/>
      <c r="D11" s="376"/>
      <c r="E11" s="374"/>
      <c r="F11" s="374"/>
      <c r="G11" s="374"/>
      <c r="H11" s="374"/>
      <c r="I11" s="374"/>
      <c r="J11" s="374"/>
      <c r="K11" s="374"/>
    </row>
    <row r="12" ht="22.5" customHeight="1">
      <c r="B12" s="371"/>
      <c r="C12" s="372"/>
      <c r="D12" s="376"/>
      <c r="E12" s="374"/>
      <c r="F12" s="374"/>
      <c r="G12" s="374"/>
      <c r="H12" s="374"/>
      <c r="I12" s="374"/>
      <c r="J12" s="374"/>
      <c r="K12" s="374"/>
    </row>
    <row r="13" ht="22.5" customHeight="1">
      <c r="B13" s="371"/>
      <c r="C13" s="372"/>
      <c r="D13" s="376"/>
      <c r="E13" s="374"/>
      <c r="F13" s="374"/>
      <c r="G13" s="374"/>
      <c r="H13" s="374"/>
      <c r="I13" s="374"/>
      <c r="J13" s="374"/>
      <c r="K13" s="374"/>
    </row>
    <row r="14" ht="22.5" customHeight="1">
      <c r="B14" s="371"/>
      <c r="C14" s="372"/>
      <c r="D14" s="376"/>
      <c r="E14" s="374"/>
      <c r="F14" s="374"/>
      <c r="G14" s="374"/>
      <c r="H14" s="374"/>
      <c r="I14" s="374"/>
      <c r="J14" s="374"/>
      <c r="K14" s="374"/>
    </row>
    <row r="15" ht="22.5" customHeight="1">
      <c r="B15" s="371"/>
      <c r="C15" s="372"/>
      <c r="D15" s="376"/>
      <c r="E15" s="374"/>
      <c r="F15" s="374"/>
      <c r="G15" s="374"/>
      <c r="H15" s="374"/>
      <c r="I15" s="374"/>
      <c r="J15" s="374"/>
      <c r="K15" s="374"/>
    </row>
    <row r="16" ht="22.5" customHeight="1">
      <c r="B16" s="371"/>
      <c r="C16" s="372"/>
      <c r="D16" s="376"/>
      <c r="E16" s="374"/>
      <c r="F16" s="374"/>
      <c r="G16" s="374"/>
      <c r="H16" s="374"/>
      <c r="I16" s="374"/>
      <c r="J16" s="374"/>
      <c r="K16" s="374"/>
    </row>
    <row r="17" ht="22.5" customHeight="1">
      <c r="A17" s="377"/>
      <c r="B17" s="378" t="s">
        <v>1468</v>
      </c>
      <c r="C17" s="379">
        <f t="shared" ref="C17:D17" si="1">SUM(C5:C16)</f>
        <v>6226605</v>
      </c>
      <c r="D17" s="379">
        <f t="shared" si="1"/>
        <v>5480000</v>
      </c>
      <c r="E17" s="380"/>
      <c r="F17" s="381" t="s">
        <v>1753</v>
      </c>
      <c r="G17" s="380"/>
      <c r="H17" s="380"/>
      <c r="I17" s="380"/>
      <c r="J17" s="380"/>
      <c r="K17" s="380"/>
      <c r="L17" s="377"/>
      <c r="M17" s="377"/>
      <c r="N17" s="377"/>
      <c r="O17" s="377"/>
      <c r="P17" s="377"/>
      <c r="Q17" s="377"/>
      <c r="R17" s="377"/>
      <c r="S17" s="377"/>
      <c r="T17" s="377"/>
      <c r="U17" s="377"/>
      <c r="V17" s="377"/>
      <c r="W17" s="377"/>
      <c r="X17" s="377"/>
      <c r="Y17" s="377"/>
      <c r="Z17" s="377"/>
      <c r="AA17" s="377"/>
      <c r="AB17" s="377"/>
      <c r="AC17" s="377"/>
    </row>
    <row r="19">
      <c r="B19" s="369"/>
      <c r="C19" s="369"/>
      <c r="D19" s="369"/>
      <c r="E19" s="369"/>
      <c r="F19" s="369"/>
      <c r="G19" s="369"/>
      <c r="H19" s="369"/>
      <c r="I19" s="369"/>
      <c r="J19" s="369"/>
      <c r="K19" s="369"/>
    </row>
    <row r="20" ht="22.5" customHeight="1">
      <c r="B20" s="370" t="s">
        <v>4</v>
      </c>
      <c r="C20" s="370" t="s">
        <v>1400</v>
      </c>
      <c r="D20" s="370" t="s">
        <v>1473</v>
      </c>
      <c r="E20" s="370" t="s">
        <v>1402</v>
      </c>
      <c r="F20" s="370" t="s">
        <v>1403</v>
      </c>
      <c r="G20" s="370" t="s">
        <v>1404</v>
      </c>
      <c r="H20" s="370" t="s">
        <v>1405</v>
      </c>
      <c r="I20" s="370" t="s">
        <v>1406</v>
      </c>
      <c r="J20" s="370" t="s">
        <v>1407</v>
      </c>
      <c r="K20" s="370" t="s">
        <v>326</v>
      </c>
    </row>
    <row r="21" ht="22.5" customHeight="1">
      <c r="B21" s="373" t="s">
        <v>1754</v>
      </c>
      <c r="C21" s="382">
        <f>260000</f>
        <v>260000</v>
      </c>
      <c r="D21" s="382">
        <v>500000.0</v>
      </c>
      <c r="E21" s="373" t="s">
        <v>1755</v>
      </c>
      <c r="F21" s="373" t="s">
        <v>1756</v>
      </c>
      <c r="G21" s="374"/>
      <c r="H21" s="374"/>
      <c r="I21" s="373" t="s">
        <v>160</v>
      </c>
      <c r="J21" s="373" t="s">
        <v>1757</v>
      </c>
      <c r="K21" s="374"/>
    </row>
    <row r="22" ht="22.5" customHeight="1">
      <c r="B22" s="373" t="s">
        <v>1758</v>
      </c>
      <c r="C22" s="382"/>
      <c r="D22" s="383">
        <f>120000+45000+200000*10</f>
        <v>2165000</v>
      </c>
      <c r="E22" s="373" t="s">
        <v>1759</v>
      </c>
      <c r="F22" s="373" t="s">
        <v>1760</v>
      </c>
      <c r="G22" s="374"/>
      <c r="H22" s="373" t="s">
        <v>1761</v>
      </c>
      <c r="I22" s="373" t="s">
        <v>160</v>
      </c>
      <c r="J22" s="373" t="s">
        <v>1762</v>
      </c>
      <c r="K22" s="374"/>
    </row>
    <row r="23" ht="22.5" customHeight="1">
      <c r="B23" s="373"/>
      <c r="C23" s="382"/>
      <c r="D23" s="382"/>
      <c r="E23" s="374"/>
      <c r="F23" s="374"/>
      <c r="G23" s="374"/>
      <c r="H23" s="374"/>
      <c r="I23" s="374"/>
      <c r="J23" s="374"/>
      <c r="K23" s="374"/>
    </row>
    <row r="24" ht="22.5" customHeight="1">
      <c r="B24" s="373"/>
      <c r="C24" s="382"/>
      <c r="D24" s="382"/>
      <c r="E24" s="374"/>
      <c r="F24" s="373"/>
      <c r="G24" s="374"/>
      <c r="H24" s="374"/>
      <c r="I24" s="374"/>
      <c r="J24" s="374"/>
      <c r="K24" s="374"/>
    </row>
    <row r="25" ht="22.5" customHeight="1">
      <c r="B25" s="373"/>
      <c r="C25" s="382"/>
      <c r="D25" s="382"/>
      <c r="E25" s="374"/>
      <c r="F25" s="374"/>
      <c r="G25" s="374"/>
      <c r="H25" s="374"/>
      <c r="I25" s="374"/>
      <c r="J25" s="374"/>
      <c r="K25" s="374"/>
    </row>
    <row r="26" ht="22.5" customHeight="1">
      <c r="B26" s="373"/>
      <c r="C26" s="382"/>
      <c r="D26" s="382"/>
      <c r="E26" s="374"/>
      <c r="F26" s="374"/>
      <c r="G26" s="374"/>
      <c r="H26" s="374"/>
      <c r="I26" s="374"/>
      <c r="J26" s="374"/>
      <c r="K26" s="374"/>
    </row>
    <row r="27" ht="22.5" customHeight="1">
      <c r="B27" s="373"/>
      <c r="C27" s="382"/>
      <c r="D27" s="382"/>
      <c r="E27" s="374"/>
      <c r="F27" s="374"/>
      <c r="G27" s="374"/>
      <c r="H27" s="374"/>
      <c r="I27" s="374"/>
      <c r="J27" s="374"/>
      <c r="K27" s="374"/>
    </row>
    <row r="28" ht="22.5" customHeight="1">
      <c r="B28" s="384"/>
      <c r="C28" s="385"/>
      <c r="D28" s="385"/>
      <c r="E28" s="374"/>
      <c r="F28" s="374"/>
      <c r="G28" s="374"/>
      <c r="H28" s="374"/>
      <c r="I28" s="374"/>
      <c r="J28" s="374"/>
      <c r="K28" s="374"/>
    </row>
    <row r="29" ht="22.5" customHeight="1">
      <c r="B29" s="373"/>
      <c r="C29" s="382"/>
      <c r="D29" s="382"/>
      <c r="E29" s="374"/>
      <c r="F29" s="374"/>
      <c r="G29" s="374"/>
      <c r="H29" s="374"/>
      <c r="I29" s="374"/>
      <c r="J29" s="374"/>
      <c r="K29" s="374"/>
    </row>
    <row r="30" ht="22.5" customHeight="1">
      <c r="B30" s="373"/>
      <c r="C30" s="382"/>
      <c r="D30" s="382"/>
      <c r="E30" s="374"/>
      <c r="F30" s="374"/>
      <c r="G30" s="374"/>
      <c r="H30" s="374"/>
      <c r="I30" s="374"/>
      <c r="J30" s="374"/>
      <c r="K30" s="374"/>
    </row>
    <row r="31" ht="22.5" customHeight="1">
      <c r="B31" s="384"/>
      <c r="C31" s="385"/>
      <c r="D31" s="385"/>
      <c r="E31" s="374"/>
      <c r="F31" s="374"/>
      <c r="G31" s="374"/>
      <c r="H31" s="374"/>
      <c r="I31" s="374"/>
      <c r="J31" s="374"/>
      <c r="K31" s="374"/>
    </row>
    <row r="32" ht="22.5" customHeight="1">
      <c r="B32" s="373"/>
      <c r="C32" s="382"/>
      <c r="D32" s="382"/>
      <c r="E32" s="374"/>
      <c r="F32" s="374"/>
      <c r="G32" s="374"/>
      <c r="H32" s="374"/>
      <c r="I32" s="374"/>
      <c r="J32" s="374"/>
      <c r="K32" s="374"/>
    </row>
    <row r="33" ht="22.5" customHeight="1">
      <c r="B33" s="373"/>
      <c r="C33" s="382"/>
      <c r="D33" s="382"/>
      <c r="E33" s="374"/>
      <c r="F33" s="374"/>
      <c r="G33" s="374"/>
      <c r="H33" s="374"/>
      <c r="I33" s="374"/>
      <c r="J33" s="374"/>
      <c r="K33" s="374"/>
    </row>
    <row r="34" ht="22.5" customHeight="1">
      <c r="B34" s="373"/>
      <c r="C34" s="382"/>
      <c r="D34" s="382"/>
      <c r="E34" s="374"/>
      <c r="F34" s="374"/>
      <c r="G34" s="374"/>
      <c r="H34" s="374"/>
      <c r="I34" s="374"/>
      <c r="J34" s="374"/>
      <c r="K34" s="374"/>
    </row>
    <row r="35" ht="22.5" customHeight="1">
      <c r="B35" s="373"/>
      <c r="C35" s="382"/>
      <c r="D35" s="382"/>
      <c r="E35" s="374"/>
      <c r="F35" s="374"/>
      <c r="G35" s="374"/>
      <c r="H35" s="374"/>
      <c r="I35" s="374"/>
      <c r="J35" s="374"/>
      <c r="K35" s="374"/>
    </row>
    <row r="36" ht="22.5" customHeight="1">
      <c r="B36" s="373"/>
      <c r="C36" s="382"/>
      <c r="D36" s="382"/>
      <c r="E36" s="374"/>
      <c r="F36" s="374"/>
      <c r="G36" s="374"/>
      <c r="H36" s="374"/>
      <c r="I36" s="374"/>
      <c r="J36" s="374"/>
      <c r="K36" s="374"/>
    </row>
    <row r="37" ht="22.5" customHeight="1">
      <c r="B37" s="374"/>
      <c r="C37" s="383"/>
      <c r="D37" s="383"/>
      <c r="E37" s="374"/>
      <c r="F37" s="374"/>
      <c r="G37" s="374"/>
      <c r="H37" s="374"/>
      <c r="I37" s="374"/>
      <c r="J37" s="374"/>
      <c r="K37" s="374"/>
    </row>
    <row r="38" ht="22.5" customHeight="1">
      <c r="B38" s="374"/>
      <c r="C38" s="383"/>
      <c r="D38" s="383"/>
      <c r="E38" s="374"/>
      <c r="F38" s="374"/>
      <c r="G38" s="374"/>
      <c r="H38" s="374"/>
      <c r="I38" s="374"/>
      <c r="J38" s="374"/>
      <c r="K38" s="374"/>
    </row>
    <row r="39" ht="22.5" customHeight="1">
      <c r="B39" s="374"/>
      <c r="C39" s="383"/>
      <c r="D39" s="383"/>
      <c r="E39" s="374"/>
      <c r="F39" s="374"/>
      <c r="G39" s="374"/>
      <c r="H39" s="374"/>
      <c r="I39" s="374"/>
      <c r="J39" s="374"/>
      <c r="K39" s="374"/>
    </row>
    <row r="40" ht="22.5" customHeight="1">
      <c r="B40" s="378" t="s">
        <v>1468</v>
      </c>
      <c r="C40" s="386">
        <f t="shared" ref="C40:D40" si="2">SUM(C21:C39)</f>
        <v>260000</v>
      </c>
      <c r="D40" s="386">
        <f t="shared" si="2"/>
        <v>2665000</v>
      </c>
      <c r="E40" s="380"/>
      <c r="F40" s="381"/>
      <c r="G40" s="380"/>
      <c r="H40" s="380"/>
      <c r="I40" s="380"/>
      <c r="J40" s="380"/>
      <c r="K40" s="380"/>
    </row>
    <row r="41">
      <c r="A41" s="377"/>
      <c r="L41" s="377"/>
      <c r="M41" s="377"/>
      <c r="N41" s="377"/>
      <c r="O41" s="377"/>
      <c r="P41" s="377"/>
      <c r="Q41" s="377"/>
      <c r="R41" s="377"/>
      <c r="S41" s="377"/>
      <c r="T41" s="377"/>
      <c r="U41" s="377"/>
      <c r="V41" s="377"/>
      <c r="W41" s="377"/>
      <c r="X41" s="377"/>
      <c r="Y41" s="377"/>
      <c r="Z41" s="377"/>
      <c r="AA41" s="377"/>
      <c r="AB41" s="377"/>
      <c r="AC41" s="377"/>
    </row>
    <row r="42">
      <c r="B42" s="369"/>
      <c r="C42" s="369"/>
      <c r="D42" s="369"/>
      <c r="E42" s="369"/>
      <c r="F42" s="369"/>
      <c r="G42" s="369"/>
      <c r="H42" s="369"/>
      <c r="I42" s="369"/>
      <c r="J42" s="369"/>
      <c r="K42" s="369"/>
    </row>
    <row r="43" ht="22.5" customHeight="1">
      <c r="B43" s="370" t="s">
        <v>4</v>
      </c>
      <c r="C43" s="370" t="s">
        <v>1559</v>
      </c>
      <c r="D43" s="370" t="s">
        <v>1558</v>
      </c>
      <c r="E43" s="370" t="s">
        <v>1402</v>
      </c>
      <c r="F43" s="370" t="s">
        <v>1560</v>
      </c>
      <c r="G43" s="370" t="s">
        <v>1404</v>
      </c>
      <c r="H43" s="370" t="s">
        <v>1405</v>
      </c>
      <c r="I43" s="370" t="s">
        <v>1406</v>
      </c>
      <c r="J43" s="370" t="s">
        <v>1407</v>
      </c>
      <c r="K43" s="370" t="s">
        <v>326</v>
      </c>
    </row>
    <row r="44" ht="22.5" customHeight="1">
      <c r="B44" s="373" t="s">
        <v>1763</v>
      </c>
      <c r="C44" s="382" t="s">
        <v>1764</v>
      </c>
      <c r="D44" s="382"/>
      <c r="E44" s="373" t="s">
        <v>1765</v>
      </c>
      <c r="F44" s="373" t="s">
        <v>1766</v>
      </c>
      <c r="G44" s="387"/>
      <c r="H44" s="373" t="s">
        <v>1767</v>
      </c>
      <c r="I44" s="371" t="s">
        <v>210</v>
      </c>
      <c r="J44" s="371" t="s">
        <v>1768</v>
      </c>
      <c r="K44" s="387"/>
    </row>
    <row r="45" ht="22.5" customHeight="1">
      <c r="B45" s="373" t="s">
        <v>264</v>
      </c>
      <c r="C45" s="373" t="s">
        <v>1769</v>
      </c>
      <c r="D45" s="387"/>
      <c r="E45" s="371" t="s">
        <v>1770</v>
      </c>
      <c r="F45" s="373" t="s">
        <v>1771</v>
      </c>
      <c r="G45" s="387"/>
      <c r="H45" s="387"/>
      <c r="I45" s="371" t="s">
        <v>160</v>
      </c>
      <c r="J45" s="371" t="s">
        <v>1772</v>
      </c>
      <c r="K45" s="371" t="s">
        <v>1773</v>
      </c>
    </row>
    <row r="46" ht="22.5" customHeight="1">
      <c r="B46" s="373" t="s">
        <v>1774</v>
      </c>
      <c r="C46" s="373" t="s">
        <v>1775</v>
      </c>
      <c r="D46" s="373" t="s">
        <v>1776</v>
      </c>
      <c r="E46" s="373" t="s">
        <v>1777</v>
      </c>
      <c r="F46" s="371" t="s">
        <v>1778</v>
      </c>
      <c r="G46" s="387"/>
      <c r="H46" s="387"/>
      <c r="I46" s="371" t="s">
        <v>210</v>
      </c>
      <c r="J46" s="371" t="s">
        <v>1772</v>
      </c>
      <c r="K46" s="387"/>
    </row>
    <row r="47" ht="22.5" customHeight="1">
      <c r="B47" s="373" t="s">
        <v>1779</v>
      </c>
      <c r="C47" s="373" t="s">
        <v>1780</v>
      </c>
      <c r="D47" s="373" t="s">
        <v>1781</v>
      </c>
      <c r="E47" s="373" t="s">
        <v>1782</v>
      </c>
      <c r="F47" s="373" t="s">
        <v>1783</v>
      </c>
      <c r="G47" s="387"/>
      <c r="H47" s="387"/>
      <c r="I47" s="371" t="s">
        <v>160</v>
      </c>
      <c r="J47" s="373" t="s">
        <v>1784</v>
      </c>
      <c r="K47" s="387"/>
    </row>
    <row r="48" ht="22.5" customHeight="1">
      <c r="B48" s="373" t="s">
        <v>1691</v>
      </c>
      <c r="C48" s="373" t="s">
        <v>1785</v>
      </c>
      <c r="D48" s="373" t="s">
        <v>1786</v>
      </c>
      <c r="E48" s="373" t="s">
        <v>1787</v>
      </c>
      <c r="F48" s="374"/>
      <c r="G48" s="374"/>
      <c r="H48" s="374"/>
      <c r="I48" s="371" t="s">
        <v>160</v>
      </c>
      <c r="J48" s="374"/>
      <c r="K48" s="373" t="s">
        <v>1788</v>
      </c>
    </row>
    <row r="49" ht="22.5" customHeight="1">
      <c r="B49" s="373" t="s">
        <v>1789</v>
      </c>
      <c r="C49" s="373" t="s">
        <v>1790</v>
      </c>
      <c r="D49" s="373" t="s">
        <v>1791</v>
      </c>
      <c r="E49" s="373" t="s">
        <v>1792</v>
      </c>
      <c r="F49" s="374"/>
      <c r="G49" s="374"/>
      <c r="H49" s="374"/>
      <c r="I49" s="371" t="s">
        <v>160</v>
      </c>
      <c r="J49" s="374"/>
      <c r="K49" s="373" t="s">
        <v>1793</v>
      </c>
    </row>
    <row r="50" ht="22.5" customHeight="1">
      <c r="B50" s="373" t="s">
        <v>1794</v>
      </c>
      <c r="C50" s="373" t="s">
        <v>1795</v>
      </c>
      <c r="D50" s="373" t="s">
        <v>1796</v>
      </c>
      <c r="E50" s="373" t="s">
        <v>1797</v>
      </c>
      <c r="F50" s="374"/>
      <c r="G50" s="374"/>
      <c r="H50" s="374"/>
      <c r="I50" s="371" t="s">
        <v>160</v>
      </c>
      <c r="J50" s="374"/>
      <c r="K50" s="373" t="s">
        <v>1798</v>
      </c>
    </row>
    <row r="51" ht="22.5" customHeight="1">
      <c r="B51" s="373"/>
      <c r="C51" s="374"/>
      <c r="D51" s="374"/>
      <c r="E51" s="374"/>
      <c r="F51" s="374"/>
      <c r="G51" s="374"/>
      <c r="H51" s="374"/>
      <c r="I51" s="374"/>
      <c r="J51" s="374"/>
      <c r="K51" s="374"/>
    </row>
    <row r="52" ht="22.5" customHeight="1">
      <c r="B52" s="373"/>
      <c r="C52" s="374"/>
      <c r="D52" s="374"/>
      <c r="E52" s="374"/>
      <c r="F52" s="374"/>
      <c r="G52" s="374"/>
      <c r="H52" s="374"/>
      <c r="I52" s="374"/>
      <c r="J52" s="374"/>
      <c r="K52" s="374"/>
    </row>
    <row r="53" ht="22.5" customHeight="1">
      <c r="B53" s="373"/>
      <c r="C53" s="374"/>
      <c r="D53" s="374"/>
      <c r="E53" s="374"/>
      <c r="F53" s="374"/>
      <c r="G53" s="374"/>
      <c r="H53" s="374"/>
      <c r="I53" s="374"/>
      <c r="J53" s="374"/>
      <c r="K53" s="374"/>
    </row>
    <row r="54" ht="22.5" customHeight="1">
      <c r="B54" s="374"/>
      <c r="C54" s="374"/>
      <c r="D54" s="374"/>
      <c r="E54" s="374"/>
      <c r="F54" s="374"/>
      <c r="G54" s="374"/>
      <c r="H54" s="374"/>
      <c r="I54" s="374"/>
      <c r="J54" s="374"/>
      <c r="K54" s="374"/>
    </row>
    <row r="55" ht="22.5" customHeight="1">
      <c r="B55" s="374"/>
      <c r="C55" s="374"/>
      <c r="D55" s="374"/>
      <c r="E55" s="374"/>
      <c r="F55" s="374"/>
      <c r="G55" s="374"/>
      <c r="H55" s="374"/>
      <c r="I55" s="374"/>
      <c r="J55" s="374"/>
      <c r="K55" s="374"/>
    </row>
    <row r="56" ht="22.5" customHeight="1">
      <c r="B56" s="374"/>
      <c r="C56" s="374"/>
      <c r="D56" s="374"/>
      <c r="E56" s="374"/>
      <c r="F56" s="374"/>
      <c r="G56" s="374"/>
      <c r="H56" s="374"/>
      <c r="I56" s="374"/>
      <c r="J56" s="374"/>
      <c r="K56" s="374"/>
    </row>
    <row r="57" ht="22.5" customHeight="1">
      <c r="B57" s="374"/>
      <c r="C57" s="374"/>
      <c r="D57" s="374"/>
      <c r="E57" s="374"/>
      <c r="F57" s="374"/>
      <c r="G57" s="374"/>
      <c r="H57" s="374"/>
      <c r="I57" s="374"/>
      <c r="J57" s="374"/>
      <c r="K57" s="374"/>
    </row>
    <row r="58" ht="22.5" customHeight="1">
      <c r="B58" s="374"/>
      <c r="C58" s="374"/>
      <c r="D58" s="374"/>
      <c r="E58" s="374"/>
      <c r="F58" s="374"/>
      <c r="G58" s="374"/>
      <c r="H58" s="374"/>
      <c r="I58" s="374"/>
      <c r="J58" s="374"/>
      <c r="K58" s="374"/>
    </row>
    <row r="59" ht="22.5" customHeight="1">
      <c r="B59" s="374"/>
      <c r="C59" s="374"/>
      <c r="D59" s="374"/>
      <c r="E59" s="374"/>
      <c r="F59" s="374"/>
      <c r="G59" s="374"/>
      <c r="H59" s="374"/>
      <c r="I59" s="374"/>
      <c r="J59" s="374"/>
      <c r="K59" s="374"/>
    </row>
    <row r="60" ht="22.5" customHeight="1">
      <c r="B60" s="374"/>
      <c r="C60" s="374"/>
      <c r="D60" s="374"/>
      <c r="E60" s="374"/>
      <c r="F60" s="374"/>
      <c r="G60" s="374"/>
      <c r="H60" s="374"/>
      <c r="I60" s="374"/>
      <c r="J60" s="374"/>
      <c r="K60" s="374"/>
    </row>
  </sheetData>
  <mergeCells count="1">
    <mergeCell ref="B1:K1"/>
  </mergeCells>
  <dataValidations>
    <dataValidation type="custom" allowBlank="1" showDropDown="1" sqref="C5:D17 C21:C40">
      <formula1>AND(ISNUMBER(C5),(NOT(OR(NOT(ISERROR(DATEVALUE(C5))), AND(ISNUMBER(C5), LEFT(CELL("format", C5))="D")))))</formula1>
    </dataValidation>
  </dataValidations>
  <drawing r:id="rId2"/>
  <legacyDrawing r:id="rId3"/>
  <tableParts count="3">
    <tablePart r:id="rId7"/>
    <tablePart r:id="rId8"/>
    <tablePart r:id="rId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3.38"/>
    <col customWidth="1" min="3" max="4" width="21.38"/>
    <col customWidth="1" min="5" max="5" width="23.75"/>
    <col customWidth="1" min="6" max="6" width="21.13"/>
    <col customWidth="1" min="7" max="7" width="25.13"/>
    <col customWidth="1" min="8" max="8" width="24.88"/>
    <col customWidth="1" min="9" max="9" width="28.25"/>
    <col customWidth="1" min="10" max="10" width="24.0"/>
    <col customWidth="1" min="11" max="11" width="27.25"/>
    <col customWidth="1" min="12" max="12" width="22.88"/>
  </cols>
  <sheetData>
    <row r="3">
      <c r="B3" s="369"/>
      <c r="C3" s="369"/>
      <c r="D3" s="369"/>
      <c r="E3" s="369"/>
      <c r="F3" s="369"/>
      <c r="G3" s="369"/>
      <c r="H3" s="369"/>
      <c r="I3" s="369"/>
      <c r="J3" s="369"/>
      <c r="K3" s="369"/>
      <c r="L3" s="369"/>
    </row>
    <row r="4" ht="22.5" customHeight="1">
      <c r="B4" s="370" t="s">
        <v>4</v>
      </c>
      <c r="C4" s="388" t="s">
        <v>1799</v>
      </c>
      <c r="D4" s="370" t="s">
        <v>1400</v>
      </c>
      <c r="E4" s="370" t="s">
        <v>1401</v>
      </c>
      <c r="F4" s="370" t="s">
        <v>1402</v>
      </c>
      <c r="G4" s="370" t="s">
        <v>1403</v>
      </c>
      <c r="H4" s="370" t="s">
        <v>1404</v>
      </c>
      <c r="I4" s="370" t="s">
        <v>1405</v>
      </c>
      <c r="J4" s="370" t="s">
        <v>1406</v>
      </c>
      <c r="K4" s="370" t="s">
        <v>1407</v>
      </c>
      <c r="L4" s="370" t="s">
        <v>326</v>
      </c>
    </row>
    <row r="5" ht="22.5" customHeight="1">
      <c r="B5" s="371"/>
      <c r="C5" s="372"/>
      <c r="D5" s="372"/>
      <c r="E5" s="387"/>
      <c r="F5" s="387"/>
      <c r="G5" s="387"/>
      <c r="H5" s="387"/>
      <c r="I5" s="387"/>
      <c r="J5" s="387"/>
      <c r="K5" s="387"/>
      <c r="L5" s="387"/>
    </row>
    <row r="6" ht="22.5" customHeight="1">
      <c r="B6" s="371" t="s">
        <v>1800</v>
      </c>
      <c r="C6" s="372" t="s">
        <v>337</v>
      </c>
      <c r="D6" s="372">
        <v>1172640.0</v>
      </c>
      <c r="E6" s="372">
        <f>1800000</f>
        <v>1800000</v>
      </c>
      <c r="F6" s="387"/>
      <c r="G6" s="387"/>
      <c r="H6" s="387"/>
      <c r="I6" s="387"/>
      <c r="J6" s="387"/>
      <c r="K6" s="387"/>
      <c r="L6" s="387"/>
    </row>
    <row r="7" ht="22.5" customHeight="1">
      <c r="B7" s="371" t="s">
        <v>1801</v>
      </c>
      <c r="C7" s="372" t="s">
        <v>1802</v>
      </c>
      <c r="D7" s="372">
        <v>969992.0</v>
      </c>
      <c r="E7" s="372">
        <v>1100000.0</v>
      </c>
      <c r="F7" s="387"/>
      <c r="G7" s="387"/>
      <c r="H7" s="387"/>
      <c r="I7" s="387"/>
      <c r="J7" s="387"/>
      <c r="K7" s="387"/>
      <c r="L7" s="387"/>
    </row>
    <row r="8" ht="22.5" customHeight="1">
      <c r="B8" s="371" t="s">
        <v>1803</v>
      </c>
      <c r="C8" s="372" t="s">
        <v>91</v>
      </c>
      <c r="D8" s="372">
        <v>268014.0</v>
      </c>
      <c r="E8" s="372">
        <v>468000.0</v>
      </c>
      <c r="F8" s="387"/>
      <c r="G8" s="387"/>
      <c r="H8" s="387"/>
      <c r="I8" s="387"/>
      <c r="J8" s="387"/>
      <c r="K8" s="387"/>
      <c r="L8" s="387"/>
    </row>
    <row r="9" ht="22.5" customHeight="1">
      <c r="B9" s="371" t="s">
        <v>1804</v>
      </c>
      <c r="C9" s="371" t="s">
        <v>1805</v>
      </c>
      <c r="D9" s="372">
        <v>601024.0</v>
      </c>
      <c r="E9" s="387"/>
      <c r="F9" s="387"/>
      <c r="G9" s="387"/>
      <c r="H9" s="387"/>
      <c r="I9" s="387"/>
      <c r="J9" s="387"/>
      <c r="K9" s="387"/>
      <c r="L9" s="387"/>
    </row>
    <row r="10" ht="22.5" customHeight="1">
      <c r="B10" s="371" t="s">
        <v>1804</v>
      </c>
      <c r="C10" s="371" t="s">
        <v>1806</v>
      </c>
      <c r="D10" s="372">
        <v>223115.0</v>
      </c>
      <c r="E10" s="387"/>
      <c r="F10" s="387"/>
      <c r="G10" s="387"/>
      <c r="H10" s="387"/>
      <c r="I10" s="387"/>
      <c r="J10" s="387"/>
      <c r="K10" s="387"/>
      <c r="L10" s="387"/>
    </row>
    <row r="11" ht="22.5" customHeight="1">
      <c r="B11" s="371" t="s">
        <v>1807</v>
      </c>
      <c r="C11" s="371" t="s">
        <v>1808</v>
      </c>
      <c r="D11" s="372">
        <v>541411.0</v>
      </c>
      <c r="E11" s="387"/>
      <c r="F11" s="387"/>
      <c r="G11" s="387"/>
      <c r="H11" s="387"/>
      <c r="I11" s="387"/>
      <c r="J11" s="387"/>
      <c r="K11" s="387"/>
      <c r="L11" s="387"/>
    </row>
    <row r="12" ht="22.5" customHeight="1">
      <c r="B12" s="371" t="s">
        <v>1807</v>
      </c>
      <c r="C12" s="371" t="s">
        <v>1809</v>
      </c>
      <c r="D12" s="372">
        <v>15650.0</v>
      </c>
      <c r="E12" s="387"/>
      <c r="F12" s="387"/>
      <c r="G12" s="387"/>
      <c r="H12" s="387"/>
      <c r="I12" s="387"/>
      <c r="J12" s="387"/>
      <c r="K12" s="387"/>
      <c r="L12" s="387"/>
    </row>
    <row r="13" ht="22.5" customHeight="1">
      <c r="B13" s="389" t="s">
        <v>1468</v>
      </c>
      <c r="C13" s="390"/>
      <c r="D13" s="390">
        <f t="shared" ref="D13:E13" si="1">SUM(D5:D12)</f>
        <v>3791846</v>
      </c>
      <c r="E13" s="390">
        <f t="shared" si="1"/>
        <v>3368000</v>
      </c>
      <c r="F13" s="391"/>
      <c r="G13" s="391"/>
      <c r="H13" s="391"/>
      <c r="I13" s="391"/>
      <c r="J13" s="391"/>
      <c r="K13" s="391"/>
      <c r="L13" s="391"/>
    </row>
    <row r="15">
      <c r="B15" s="369"/>
      <c r="C15" s="369"/>
      <c r="D15" s="369"/>
      <c r="E15" s="369"/>
      <c r="F15" s="369"/>
      <c r="G15" s="369"/>
      <c r="H15" s="369"/>
      <c r="I15" s="369"/>
      <c r="J15" s="369"/>
      <c r="K15" s="369"/>
      <c r="L15" s="369"/>
    </row>
    <row r="16" ht="22.5" customHeight="1">
      <c r="B16" s="370" t="s">
        <v>4</v>
      </c>
      <c r="C16" s="388" t="s">
        <v>1799</v>
      </c>
      <c r="D16" s="370" t="s">
        <v>1400</v>
      </c>
      <c r="E16" s="370" t="s">
        <v>1473</v>
      </c>
      <c r="F16" s="370" t="s">
        <v>1402</v>
      </c>
      <c r="G16" s="370" t="s">
        <v>1403</v>
      </c>
      <c r="H16" s="370" t="s">
        <v>1404</v>
      </c>
      <c r="I16" s="370" t="s">
        <v>1405</v>
      </c>
      <c r="J16" s="370" t="s">
        <v>1406</v>
      </c>
      <c r="K16" s="370" t="s">
        <v>1407</v>
      </c>
      <c r="L16" s="370" t="s">
        <v>326</v>
      </c>
    </row>
    <row r="17" ht="22.5" customHeight="1">
      <c r="B17" s="371" t="s">
        <v>1810</v>
      </c>
      <c r="C17" s="371" t="s">
        <v>1811</v>
      </c>
      <c r="D17" s="372">
        <v>319701.0</v>
      </c>
      <c r="E17" s="387"/>
      <c r="F17" s="387"/>
      <c r="G17" s="387"/>
      <c r="H17" s="387"/>
      <c r="I17" s="387"/>
      <c r="J17" s="387"/>
      <c r="K17" s="387"/>
      <c r="L17" s="387"/>
    </row>
    <row r="18" ht="22.5" customHeight="1">
      <c r="B18" s="371" t="s">
        <v>1812</v>
      </c>
      <c r="C18" s="371" t="s">
        <v>1813</v>
      </c>
      <c r="D18" s="372">
        <v>293769.0</v>
      </c>
      <c r="E18" s="387"/>
      <c r="F18" s="387"/>
      <c r="G18" s="387"/>
      <c r="H18" s="387"/>
      <c r="I18" s="387"/>
      <c r="J18" s="387"/>
      <c r="K18" s="387"/>
      <c r="L18" s="387"/>
    </row>
    <row r="19" ht="22.5" customHeight="1">
      <c r="B19" s="371" t="s">
        <v>1814</v>
      </c>
      <c r="C19" s="371" t="s">
        <v>1815</v>
      </c>
      <c r="D19" s="372">
        <v>65381.0</v>
      </c>
      <c r="E19" s="387"/>
      <c r="F19" s="387"/>
      <c r="G19" s="387"/>
      <c r="H19" s="387"/>
      <c r="I19" s="387"/>
      <c r="J19" s="387"/>
      <c r="K19" s="387"/>
      <c r="L19" s="387"/>
    </row>
    <row r="20" ht="22.5" customHeight="1">
      <c r="B20" s="371" t="s">
        <v>1814</v>
      </c>
      <c r="C20" s="371" t="s">
        <v>1816</v>
      </c>
      <c r="D20" s="372">
        <v>105743.0</v>
      </c>
      <c r="E20" s="387"/>
      <c r="F20" s="387"/>
      <c r="G20" s="387"/>
      <c r="H20" s="387"/>
      <c r="I20" s="387"/>
      <c r="J20" s="387"/>
      <c r="K20" s="387"/>
      <c r="L20" s="387"/>
    </row>
    <row r="21" ht="22.5" customHeight="1">
      <c r="B21" s="371" t="s">
        <v>1814</v>
      </c>
      <c r="C21" s="371" t="s">
        <v>1817</v>
      </c>
      <c r="D21" s="372">
        <v>14850.0</v>
      </c>
      <c r="E21" s="387"/>
      <c r="F21" s="387"/>
      <c r="G21" s="387"/>
      <c r="H21" s="387"/>
      <c r="I21" s="387"/>
      <c r="J21" s="387"/>
      <c r="K21" s="387"/>
      <c r="L21" s="387"/>
    </row>
    <row r="22" ht="22.5" customHeight="1">
      <c r="B22" s="371" t="s">
        <v>1814</v>
      </c>
      <c r="C22" s="371" t="s">
        <v>1818</v>
      </c>
      <c r="D22" s="372">
        <v>13525.0</v>
      </c>
      <c r="E22" s="387"/>
      <c r="F22" s="387"/>
      <c r="G22" s="387"/>
      <c r="H22" s="387"/>
      <c r="I22" s="387"/>
      <c r="J22" s="387"/>
      <c r="K22" s="387"/>
      <c r="L22" s="387"/>
    </row>
    <row r="23" ht="22.5" customHeight="1">
      <c r="B23" s="371" t="s">
        <v>1819</v>
      </c>
      <c r="C23" s="371" t="s">
        <v>1491</v>
      </c>
      <c r="D23" s="372">
        <v>34582.0</v>
      </c>
      <c r="E23" s="387"/>
      <c r="F23" s="387"/>
      <c r="G23" s="387"/>
      <c r="H23" s="387"/>
      <c r="I23" s="387"/>
      <c r="J23" s="387"/>
      <c r="K23" s="387"/>
      <c r="L23" s="387"/>
    </row>
    <row r="24" ht="22.5" customHeight="1">
      <c r="B24" s="371" t="s">
        <v>1820</v>
      </c>
      <c r="C24" s="371" t="s">
        <v>1821</v>
      </c>
      <c r="D24" s="372">
        <v>8415.0</v>
      </c>
      <c r="E24" s="387"/>
      <c r="F24" s="387"/>
      <c r="G24" s="387"/>
      <c r="H24" s="387"/>
      <c r="I24" s="387"/>
      <c r="J24" s="387"/>
      <c r="K24" s="387"/>
      <c r="L24" s="387"/>
    </row>
    <row r="25" ht="22.5" customHeight="1">
      <c r="B25" s="371" t="s">
        <v>1820</v>
      </c>
      <c r="C25" s="371" t="s">
        <v>1822</v>
      </c>
      <c r="D25" s="372">
        <v>51109.0</v>
      </c>
      <c r="E25" s="387"/>
      <c r="F25" s="387"/>
      <c r="G25" s="387"/>
      <c r="H25" s="387"/>
      <c r="I25" s="387"/>
      <c r="J25" s="387"/>
      <c r="K25" s="387"/>
      <c r="L25" s="387"/>
    </row>
    <row r="26" ht="22.5" customHeight="1">
      <c r="B26" s="371" t="s">
        <v>1823</v>
      </c>
      <c r="C26" s="371" t="s">
        <v>1824</v>
      </c>
      <c r="D26" s="372">
        <v>9850.0</v>
      </c>
      <c r="E26" s="387"/>
      <c r="F26" s="387"/>
      <c r="G26" s="387"/>
      <c r="H26" s="387"/>
      <c r="I26" s="387"/>
      <c r="J26" s="387"/>
      <c r="K26" s="387"/>
      <c r="L26" s="387"/>
    </row>
    <row r="27" ht="22.5" customHeight="1">
      <c r="B27" s="371" t="s">
        <v>1825</v>
      </c>
      <c r="C27" s="371" t="s">
        <v>1826</v>
      </c>
      <c r="D27" s="372">
        <v>19306.0</v>
      </c>
      <c r="E27" s="387"/>
      <c r="F27" s="387"/>
      <c r="G27" s="387"/>
      <c r="H27" s="387"/>
      <c r="I27" s="387"/>
      <c r="J27" s="387"/>
      <c r="K27" s="387"/>
      <c r="L27" s="387"/>
    </row>
    <row r="28" ht="22.5" customHeight="1">
      <c r="B28" s="371" t="s">
        <v>1825</v>
      </c>
      <c r="C28" s="371" t="s">
        <v>1827</v>
      </c>
      <c r="D28" s="372">
        <v>31963.0</v>
      </c>
      <c r="E28" s="387"/>
      <c r="F28" s="387"/>
      <c r="G28" s="387"/>
      <c r="H28" s="387"/>
      <c r="I28" s="387"/>
      <c r="J28" s="387"/>
      <c r="K28" s="387"/>
      <c r="L28" s="387"/>
    </row>
    <row r="29" ht="22.5" customHeight="1">
      <c r="B29" s="371"/>
      <c r="C29" s="371"/>
      <c r="D29" s="392"/>
      <c r="E29" s="387"/>
      <c r="F29" s="387"/>
      <c r="G29" s="387"/>
      <c r="H29" s="387"/>
      <c r="I29" s="387"/>
      <c r="J29" s="387"/>
      <c r="K29" s="387"/>
      <c r="L29" s="387"/>
    </row>
    <row r="30" ht="22.5" customHeight="1">
      <c r="B30" s="393" t="s">
        <v>1468</v>
      </c>
      <c r="D30" s="394">
        <f t="shared" ref="D30:E30" si="2">SUM(D17:D29)</f>
        <v>968194</v>
      </c>
      <c r="E30" s="395">
        <f t="shared" si="2"/>
        <v>0</v>
      </c>
    </row>
    <row r="32">
      <c r="B32" s="369"/>
      <c r="C32" s="369"/>
      <c r="D32" s="369"/>
      <c r="E32" s="369"/>
      <c r="F32" s="369"/>
      <c r="G32" s="369"/>
      <c r="H32" s="369"/>
      <c r="I32" s="369"/>
      <c r="J32" s="369"/>
      <c r="K32" s="369"/>
      <c r="L32" s="369"/>
    </row>
    <row r="33" ht="22.5" customHeight="1">
      <c r="B33" s="370" t="s">
        <v>4</v>
      </c>
      <c r="C33" s="388" t="s">
        <v>1799</v>
      </c>
      <c r="D33" s="370" t="s">
        <v>1559</v>
      </c>
      <c r="E33" s="370" t="s">
        <v>1558</v>
      </c>
      <c r="F33" s="370" t="s">
        <v>1402</v>
      </c>
      <c r="G33" s="370" t="s">
        <v>1560</v>
      </c>
      <c r="H33" s="370" t="s">
        <v>1404</v>
      </c>
      <c r="I33" s="370" t="s">
        <v>1405</v>
      </c>
      <c r="J33" s="370" t="s">
        <v>1406</v>
      </c>
      <c r="K33" s="370" t="s">
        <v>1407</v>
      </c>
      <c r="L33" s="370" t="s">
        <v>326</v>
      </c>
    </row>
    <row r="34" ht="22.5" customHeight="1">
      <c r="B34" s="387"/>
      <c r="C34" s="387"/>
      <c r="D34" s="387"/>
      <c r="E34" s="387"/>
      <c r="F34" s="387"/>
      <c r="G34" s="387"/>
      <c r="H34" s="387"/>
      <c r="I34" s="387"/>
      <c r="J34" s="387"/>
      <c r="K34" s="387"/>
      <c r="L34" s="387"/>
    </row>
    <row r="35" ht="22.5" customHeight="1">
      <c r="B35" s="387"/>
      <c r="C35" s="387"/>
      <c r="D35" s="387"/>
      <c r="E35" s="387"/>
      <c r="F35" s="387"/>
      <c r="G35" s="387"/>
      <c r="H35" s="387"/>
      <c r="I35" s="387"/>
      <c r="J35" s="387"/>
      <c r="K35" s="387"/>
      <c r="L35" s="387"/>
    </row>
    <row r="36" ht="22.5" customHeight="1">
      <c r="B36" s="387"/>
      <c r="C36" s="387"/>
      <c r="D36" s="387"/>
      <c r="E36" s="387"/>
      <c r="F36" s="387"/>
      <c r="G36" s="387"/>
      <c r="H36" s="387"/>
      <c r="I36" s="387"/>
      <c r="J36" s="387"/>
      <c r="K36" s="387"/>
      <c r="L36" s="387"/>
    </row>
    <row r="37" ht="22.5" customHeight="1">
      <c r="B37" s="387"/>
      <c r="C37" s="387"/>
      <c r="D37" s="387"/>
      <c r="E37" s="387"/>
      <c r="F37" s="387"/>
      <c r="G37" s="387"/>
      <c r="H37" s="387"/>
      <c r="I37" s="387"/>
      <c r="J37" s="387"/>
      <c r="K37" s="387"/>
      <c r="L37" s="387"/>
    </row>
    <row r="38" ht="22.5" customHeight="1">
      <c r="B38" s="387"/>
      <c r="C38" s="387"/>
      <c r="D38" s="387"/>
      <c r="E38" s="387"/>
      <c r="F38" s="387"/>
      <c r="G38" s="387"/>
      <c r="H38" s="387"/>
      <c r="I38" s="387"/>
      <c r="J38" s="387"/>
      <c r="K38" s="387"/>
      <c r="L38" s="387"/>
    </row>
    <row r="39" ht="22.5" customHeight="1">
      <c r="B39" s="387"/>
      <c r="C39" s="387"/>
      <c r="D39" s="387"/>
      <c r="E39" s="387"/>
      <c r="F39" s="387"/>
      <c r="G39" s="387"/>
      <c r="H39" s="387"/>
      <c r="I39" s="387"/>
      <c r="J39" s="387"/>
      <c r="K39" s="387"/>
      <c r="L39" s="387"/>
    </row>
    <row r="40" ht="22.5" customHeight="1">
      <c r="B40" s="387"/>
      <c r="C40" s="387"/>
      <c r="D40" s="387"/>
      <c r="E40" s="387"/>
      <c r="F40" s="387"/>
      <c r="G40" s="387"/>
      <c r="H40" s="387"/>
      <c r="I40" s="387"/>
      <c r="J40" s="387"/>
      <c r="K40" s="387"/>
      <c r="L40" s="387"/>
    </row>
    <row r="41" ht="22.5" customHeight="1">
      <c r="B41" s="387"/>
      <c r="C41" s="387"/>
      <c r="D41" s="387"/>
      <c r="E41" s="387"/>
      <c r="F41" s="387"/>
      <c r="G41" s="387"/>
      <c r="H41" s="387"/>
      <c r="I41" s="387"/>
      <c r="J41" s="387"/>
      <c r="K41" s="387"/>
      <c r="L41" s="387"/>
    </row>
    <row r="42" ht="22.5" customHeight="1">
      <c r="B42" s="387"/>
      <c r="C42" s="387"/>
      <c r="D42" s="387"/>
      <c r="E42" s="387"/>
      <c r="F42" s="387"/>
      <c r="G42" s="387"/>
      <c r="H42" s="387"/>
      <c r="I42" s="387"/>
      <c r="J42" s="387"/>
      <c r="K42" s="387"/>
      <c r="L42" s="387"/>
    </row>
    <row r="43" ht="22.5" customHeight="1">
      <c r="B43" s="387"/>
      <c r="C43" s="387"/>
      <c r="D43" s="387"/>
      <c r="E43" s="387"/>
      <c r="F43" s="387"/>
      <c r="G43" s="387"/>
      <c r="H43" s="387"/>
      <c r="I43" s="387"/>
      <c r="J43" s="387"/>
      <c r="K43" s="387"/>
      <c r="L43" s="387"/>
    </row>
    <row r="44" ht="22.5" customHeight="1">
      <c r="B44" s="387"/>
      <c r="C44" s="387"/>
      <c r="D44" s="387"/>
      <c r="E44" s="387"/>
      <c r="F44" s="387"/>
      <c r="G44" s="387"/>
      <c r="H44" s="387"/>
      <c r="I44" s="387"/>
      <c r="J44" s="387"/>
      <c r="K44" s="387"/>
      <c r="L44" s="387"/>
    </row>
    <row r="45" ht="22.5" customHeight="1">
      <c r="B45" s="387"/>
      <c r="C45" s="387"/>
      <c r="D45" s="387"/>
      <c r="E45" s="387"/>
      <c r="F45" s="387"/>
      <c r="G45" s="387"/>
      <c r="H45" s="387"/>
      <c r="I45" s="387"/>
      <c r="J45" s="387"/>
      <c r="K45" s="387"/>
      <c r="L45" s="387"/>
    </row>
    <row r="46" ht="22.5" customHeight="1">
      <c r="B46" s="387"/>
      <c r="C46" s="387"/>
      <c r="D46" s="387"/>
      <c r="E46" s="387"/>
      <c r="F46" s="387"/>
      <c r="G46" s="387"/>
      <c r="H46" s="387"/>
      <c r="I46" s="387"/>
      <c r="J46" s="387"/>
      <c r="K46" s="387"/>
      <c r="L46" s="387"/>
    </row>
    <row r="47" ht="22.5" customHeight="1">
      <c r="B47" s="387"/>
      <c r="C47" s="387"/>
      <c r="D47" s="387"/>
      <c r="E47" s="387"/>
      <c r="F47" s="387"/>
      <c r="G47" s="387"/>
      <c r="H47" s="387"/>
      <c r="I47" s="387"/>
      <c r="J47" s="387"/>
      <c r="K47" s="387"/>
      <c r="L47" s="387"/>
    </row>
    <row r="48" ht="22.5" customHeight="1">
      <c r="B48" s="387"/>
      <c r="C48" s="387"/>
      <c r="D48" s="387"/>
      <c r="E48" s="387"/>
      <c r="F48" s="387"/>
      <c r="G48" s="387"/>
      <c r="H48" s="387"/>
      <c r="I48" s="387"/>
      <c r="J48" s="387"/>
      <c r="K48" s="387"/>
      <c r="L48" s="387"/>
    </row>
    <row r="49" ht="22.5" customHeight="1">
      <c r="B49" s="387"/>
      <c r="C49" s="387"/>
      <c r="D49" s="387"/>
      <c r="E49" s="387"/>
      <c r="F49" s="387"/>
      <c r="G49" s="387"/>
      <c r="H49" s="387"/>
      <c r="I49" s="387"/>
      <c r="J49" s="387"/>
      <c r="K49" s="387"/>
      <c r="L49" s="387"/>
    </row>
    <row r="50" ht="22.5" customHeight="1">
      <c r="B50" s="387"/>
      <c r="C50" s="387"/>
      <c r="D50" s="387"/>
      <c r="E50" s="387"/>
      <c r="F50" s="387"/>
      <c r="G50" s="387"/>
      <c r="H50" s="387"/>
      <c r="I50" s="387"/>
      <c r="J50" s="387"/>
      <c r="K50" s="387"/>
      <c r="L50" s="387"/>
    </row>
  </sheetData>
  <dataValidations>
    <dataValidation type="custom" allowBlank="1" showDropDown="1" sqref="D5:D13">
      <formula1>AND(ISNUMBER(D5),(NOT(OR(NOT(ISERROR(DATEVALUE(D5))), AND(ISNUMBER(D5), LEFT(CELL("format", D5))="D")))))</formula1>
    </dataValidation>
  </dataValidations>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29.13"/>
    <col customWidth="1" min="3" max="3" width="52.38"/>
    <col customWidth="1" min="4" max="4" width="35.25"/>
    <col customWidth="1" min="5" max="5" width="44.63"/>
    <col customWidth="1" min="6" max="7" width="25.75"/>
  </cols>
  <sheetData>
    <row r="1" ht="34.5" customHeight="1">
      <c r="A1" s="396"/>
      <c r="B1" s="396" t="s">
        <v>4</v>
      </c>
      <c r="C1" s="396" t="s">
        <v>1828</v>
      </c>
      <c r="D1" s="396" t="s">
        <v>1829</v>
      </c>
      <c r="E1" s="396" t="s">
        <v>13</v>
      </c>
      <c r="F1" s="396" t="s">
        <v>1830</v>
      </c>
      <c r="G1" s="396" t="s">
        <v>1831</v>
      </c>
    </row>
    <row r="2">
      <c r="A2" s="397"/>
      <c r="B2" s="397" t="s">
        <v>1832</v>
      </c>
    </row>
    <row r="3">
      <c r="A3" s="398">
        <v>1.0</v>
      </c>
      <c r="B3" s="398" t="s">
        <v>1474</v>
      </c>
      <c r="C3" s="398" t="s">
        <v>1477</v>
      </c>
      <c r="D3" s="398" t="s">
        <v>1833</v>
      </c>
      <c r="E3" s="398" t="s">
        <v>1834</v>
      </c>
      <c r="F3" s="398" t="s">
        <v>1835</v>
      </c>
      <c r="G3" s="398" t="s">
        <v>1836</v>
      </c>
    </row>
    <row r="4">
      <c r="A4" s="399"/>
      <c r="B4" s="399" t="s">
        <v>1837</v>
      </c>
    </row>
    <row r="5">
      <c r="A5" s="398">
        <v>1.0</v>
      </c>
      <c r="B5" s="398" t="s">
        <v>407</v>
      </c>
      <c r="C5" s="398" t="s">
        <v>1838</v>
      </c>
      <c r="D5" s="398" t="s">
        <v>1833</v>
      </c>
      <c r="E5" s="398" t="s">
        <v>1839</v>
      </c>
      <c r="F5" s="398" t="s">
        <v>1840</v>
      </c>
      <c r="G5" s="398" t="s">
        <v>1841</v>
      </c>
    </row>
    <row r="6">
      <c r="A6" s="398">
        <v>2.0</v>
      </c>
      <c r="B6" s="398" t="s">
        <v>1842</v>
      </c>
      <c r="C6" s="398" t="s">
        <v>1843</v>
      </c>
      <c r="D6" s="398" t="s">
        <v>1833</v>
      </c>
      <c r="E6" s="398" t="s">
        <v>1844</v>
      </c>
      <c r="F6" s="398" t="s">
        <v>1845</v>
      </c>
      <c r="G6" s="398" t="s">
        <v>1846</v>
      </c>
    </row>
    <row r="7">
      <c r="A7" s="398">
        <v>3.0</v>
      </c>
      <c r="B7" s="398" t="s">
        <v>1847</v>
      </c>
      <c r="C7" s="398" t="s">
        <v>1848</v>
      </c>
      <c r="D7" s="398" t="s">
        <v>1833</v>
      </c>
      <c r="E7" s="398" t="s">
        <v>1849</v>
      </c>
      <c r="F7" s="398" t="s">
        <v>1850</v>
      </c>
      <c r="G7" s="398" t="s">
        <v>1851</v>
      </c>
    </row>
    <row r="8">
      <c r="A8" s="398">
        <v>4.0</v>
      </c>
      <c r="B8" s="398" t="s">
        <v>1852</v>
      </c>
      <c r="C8" s="398" t="s">
        <v>1853</v>
      </c>
      <c r="D8" s="398" t="s">
        <v>1833</v>
      </c>
      <c r="E8" s="398" t="s">
        <v>1854</v>
      </c>
      <c r="F8" s="398" t="s">
        <v>1855</v>
      </c>
      <c r="G8" s="398" t="s">
        <v>1856</v>
      </c>
    </row>
    <row r="9">
      <c r="A9" s="398">
        <v>5.0</v>
      </c>
      <c r="B9" s="398" t="s">
        <v>106</v>
      </c>
      <c r="C9" s="398" t="s">
        <v>1857</v>
      </c>
      <c r="D9" s="398" t="s">
        <v>1833</v>
      </c>
      <c r="E9" s="398" t="s">
        <v>1858</v>
      </c>
      <c r="F9" s="398" t="s">
        <v>1859</v>
      </c>
      <c r="G9" s="398" t="s">
        <v>1860</v>
      </c>
    </row>
    <row r="10">
      <c r="A10" s="398">
        <v>6.0</v>
      </c>
      <c r="B10" s="398" t="s">
        <v>1861</v>
      </c>
      <c r="C10" s="398" t="s">
        <v>1862</v>
      </c>
      <c r="D10" s="398" t="s">
        <v>1833</v>
      </c>
      <c r="E10" s="398" t="s">
        <v>1863</v>
      </c>
      <c r="F10" s="398" t="s">
        <v>1864</v>
      </c>
      <c r="G10" s="398" t="s">
        <v>1865</v>
      </c>
    </row>
    <row r="11">
      <c r="A11" s="398">
        <v>7.0</v>
      </c>
      <c r="B11" s="398" t="s">
        <v>812</v>
      </c>
      <c r="C11" s="398" t="s">
        <v>1866</v>
      </c>
      <c r="D11" s="398" t="s">
        <v>1833</v>
      </c>
      <c r="E11" s="398"/>
      <c r="F11" s="398" t="s">
        <v>1867</v>
      </c>
      <c r="G11" s="398" t="s">
        <v>1868</v>
      </c>
    </row>
    <row r="12">
      <c r="A12" s="399" t="s">
        <v>1869</v>
      </c>
    </row>
    <row r="13">
      <c r="A13" s="400">
        <v>1.0</v>
      </c>
      <c r="B13" s="400" t="s">
        <v>609</v>
      </c>
      <c r="C13" s="400" t="s">
        <v>1866</v>
      </c>
      <c r="D13" s="400" t="s">
        <v>1833</v>
      </c>
      <c r="E13" s="400" t="s">
        <v>1870</v>
      </c>
      <c r="F13" s="400" t="s">
        <v>1871</v>
      </c>
      <c r="G13" s="400" t="s">
        <v>1872</v>
      </c>
    </row>
    <row r="14">
      <c r="A14" s="400">
        <v>2.0</v>
      </c>
      <c r="B14" s="400" t="s">
        <v>1342</v>
      </c>
      <c r="C14" s="400" t="s">
        <v>1873</v>
      </c>
      <c r="D14" s="400" t="s">
        <v>1833</v>
      </c>
      <c r="E14" s="400" t="s">
        <v>1874</v>
      </c>
      <c r="F14" s="401" t="s">
        <v>1875</v>
      </c>
      <c r="G14" s="400" t="s">
        <v>1876</v>
      </c>
    </row>
    <row r="15">
      <c r="A15" s="400">
        <v>3.0</v>
      </c>
      <c r="B15" s="400" t="s">
        <v>812</v>
      </c>
      <c r="C15" s="400" t="s">
        <v>1877</v>
      </c>
      <c r="D15" s="400" t="s">
        <v>1833</v>
      </c>
      <c r="E15" s="400" t="s">
        <v>1878</v>
      </c>
      <c r="F15" s="400" t="s">
        <v>1879</v>
      </c>
      <c r="G15" s="400" t="s">
        <v>1880</v>
      </c>
    </row>
    <row r="16">
      <c r="A16" s="400">
        <v>4.0</v>
      </c>
      <c r="B16" s="400" t="s">
        <v>1881</v>
      </c>
      <c r="C16" s="400" t="s">
        <v>1882</v>
      </c>
      <c r="D16" s="400" t="s">
        <v>1833</v>
      </c>
      <c r="E16" s="400"/>
      <c r="F16" s="400" t="s">
        <v>1883</v>
      </c>
      <c r="G16" s="400" t="s">
        <v>1884</v>
      </c>
    </row>
    <row r="17">
      <c r="A17" s="400">
        <v>5.0</v>
      </c>
      <c r="B17" s="400" t="s">
        <v>1885</v>
      </c>
      <c r="C17" s="400" t="s">
        <v>1886</v>
      </c>
      <c r="D17" s="400" t="s">
        <v>1833</v>
      </c>
      <c r="E17" s="400" t="s">
        <v>1887</v>
      </c>
      <c r="F17" s="402"/>
      <c r="G17" s="402"/>
    </row>
    <row r="18">
      <c r="A18" s="401">
        <v>8.0</v>
      </c>
      <c r="B18" s="401" t="s">
        <v>1888</v>
      </c>
      <c r="C18" s="401" t="s">
        <v>1889</v>
      </c>
      <c r="D18" s="400" t="s">
        <v>1833</v>
      </c>
      <c r="E18" s="400" t="s">
        <v>1890</v>
      </c>
      <c r="F18" s="400" t="s">
        <v>1891</v>
      </c>
      <c r="G18" s="402"/>
    </row>
    <row r="19">
      <c r="A19" s="401">
        <v>9.0</v>
      </c>
      <c r="B19" s="401" t="s">
        <v>328</v>
      </c>
      <c r="C19" s="401" t="s">
        <v>1892</v>
      </c>
      <c r="D19" s="400" t="s">
        <v>1833</v>
      </c>
      <c r="E19" s="400" t="s">
        <v>1893</v>
      </c>
      <c r="F19" s="400" t="s">
        <v>1894</v>
      </c>
      <c r="G19" s="402"/>
    </row>
    <row r="20">
      <c r="A20" s="401">
        <v>10.0</v>
      </c>
      <c r="B20" s="401" t="s">
        <v>1895</v>
      </c>
      <c r="C20" s="400" t="s">
        <v>1896</v>
      </c>
      <c r="D20" s="400" t="s">
        <v>1833</v>
      </c>
      <c r="E20" s="400" t="s">
        <v>1897</v>
      </c>
      <c r="F20" s="400" t="s">
        <v>1898</v>
      </c>
      <c r="G20" s="400" t="s">
        <v>1899</v>
      </c>
    </row>
    <row r="21">
      <c r="A21" s="403">
        <v>11.0</v>
      </c>
      <c r="B21" s="403" t="s">
        <v>1900</v>
      </c>
      <c r="C21" s="403" t="s">
        <v>1901</v>
      </c>
      <c r="D21" s="404" t="s">
        <v>1902</v>
      </c>
      <c r="E21" s="404" t="s">
        <v>1903</v>
      </c>
      <c r="F21" s="405"/>
      <c r="G21" s="405"/>
    </row>
    <row r="22">
      <c r="A22" s="401">
        <v>12.0</v>
      </c>
      <c r="B22" s="401" t="s">
        <v>1904</v>
      </c>
      <c r="C22" s="400" t="s">
        <v>1905</v>
      </c>
      <c r="D22" s="400" t="s">
        <v>1833</v>
      </c>
      <c r="E22" s="400" t="s">
        <v>1906</v>
      </c>
      <c r="F22" s="400" t="s">
        <v>1907</v>
      </c>
      <c r="G22" s="400" t="s">
        <v>1908</v>
      </c>
    </row>
    <row r="23">
      <c r="A23" s="406" t="s">
        <v>1909</v>
      </c>
      <c r="B23" s="102"/>
      <c r="C23" s="102"/>
      <c r="D23" s="102"/>
      <c r="E23" s="102"/>
      <c r="F23" s="102"/>
      <c r="G23" s="56"/>
    </row>
    <row r="24">
      <c r="A24" s="401">
        <v>1.0</v>
      </c>
      <c r="B24" s="401" t="s">
        <v>1910</v>
      </c>
      <c r="C24" s="401" t="s">
        <v>1911</v>
      </c>
      <c r="D24" s="400" t="s">
        <v>1833</v>
      </c>
      <c r="E24" s="400" t="s">
        <v>1912</v>
      </c>
      <c r="F24" s="400" t="s">
        <v>1913</v>
      </c>
      <c r="G24" s="400" t="s">
        <v>1914</v>
      </c>
    </row>
    <row r="25">
      <c r="A25" s="403">
        <v>2.0</v>
      </c>
      <c r="B25" s="403" t="s">
        <v>1915</v>
      </c>
      <c r="C25" s="407"/>
      <c r="D25" s="404" t="s">
        <v>1902</v>
      </c>
      <c r="E25" s="408" t="s">
        <v>1916</v>
      </c>
      <c r="F25" s="407"/>
      <c r="G25" s="407"/>
    </row>
    <row r="26">
      <c r="A26" s="401">
        <v>3.0</v>
      </c>
      <c r="B26" s="401" t="s">
        <v>1917</v>
      </c>
      <c r="C26" s="401" t="s">
        <v>1918</v>
      </c>
      <c r="D26" s="400" t="s">
        <v>1833</v>
      </c>
      <c r="E26" s="400" t="s">
        <v>1919</v>
      </c>
      <c r="F26" s="400" t="s">
        <v>1920</v>
      </c>
      <c r="G26" s="400" t="s">
        <v>1921</v>
      </c>
    </row>
    <row r="27">
      <c r="A27" s="401">
        <v>4.0</v>
      </c>
      <c r="B27" s="401" t="s">
        <v>71</v>
      </c>
      <c r="C27" s="400" t="s">
        <v>1922</v>
      </c>
      <c r="D27" s="400" t="s">
        <v>1833</v>
      </c>
      <c r="E27" s="400" t="s">
        <v>1923</v>
      </c>
      <c r="F27" s="400" t="s">
        <v>1924</v>
      </c>
      <c r="G27" s="400" t="s">
        <v>1925</v>
      </c>
    </row>
    <row r="28">
      <c r="A28" s="401">
        <v>6.0</v>
      </c>
      <c r="B28" s="401" t="s">
        <v>609</v>
      </c>
      <c r="C28" s="401" t="s">
        <v>1926</v>
      </c>
      <c r="D28" s="400" t="s">
        <v>1833</v>
      </c>
      <c r="E28" s="401" t="s">
        <v>1927</v>
      </c>
      <c r="F28" s="400" t="s">
        <v>1928</v>
      </c>
      <c r="G28" s="400" t="s">
        <v>1929</v>
      </c>
    </row>
    <row r="29">
      <c r="A29" s="401">
        <v>7.0</v>
      </c>
      <c r="B29" s="401" t="s">
        <v>1930</v>
      </c>
      <c r="C29" s="401" t="s">
        <v>1931</v>
      </c>
      <c r="D29" s="400" t="s">
        <v>1833</v>
      </c>
      <c r="E29" s="401" t="s">
        <v>1932</v>
      </c>
      <c r="F29" s="400" t="s">
        <v>1933</v>
      </c>
      <c r="G29" s="400" t="s">
        <v>1934</v>
      </c>
    </row>
    <row r="30">
      <c r="A30" s="401">
        <v>8.0</v>
      </c>
      <c r="B30" s="401" t="s">
        <v>1895</v>
      </c>
      <c r="C30" s="400" t="s">
        <v>1935</v>
      </c>
      <c r="D30" s="400" t="s">
        <v>1833</v>
      </c>
      <c r="E30" s="401" t="s">
        <v>1936</v>
      </c>
      <c r="F30" s="400" t="s">
        <v>1937</v>
      </c>
      <c r="G30" s="400" t="s">
        <v>1938</v>
      </c>
    </row>
    <row r="31">
      <c r="A31" s="401">
        <v>9.0</v>
      </c>
      <c r="B31" s="401" t="s">
        <v>1939</v>
      </c>
      <c r="C31" s="401" t="s">
        <v>1940</v>
      </c>
      <c r="D31" s="400" t="s">
        <v>1833</v>
      </c>
      <c r="E31" s="402"/>
      <c r="F31" s="402"/>
      <c r="G31" s="402"/>
    </row>
    <row r="32">
      <c r="A32" s="401">
        <v>10.0</v>
      </c>
      <c r="B32" s="401" t="s">
        <v>1941</v>
      </c>
      <c r="C32" s="401" t="s">
        <v>1942</v>
      </c>
      <c r="D32" s="400" t="s">
        <v>1833</v>
      </c>
      <c r="E32" s="400" t="s">
        <v>1943</v>
      </c>
      <c r="F32" s="400" t="s">
        <v>1944</v>
      </c>
      <c r="G32" s="400" t="s">
        <v>1945</v>
      </c>
    </row>
    <row r="33">
      <c r="A33" s="401">
        <v>11.0</v>
      </c>
      <c r="B33" s="401" t="s">
        <v>71</v>
      </c>
      <c r="C33" s="401" t="s">
        <v>1946</v>
      </c>
      <c r="D33" s="400" t="s">
        <v>1833</v>
      </c>
      <c r="E33" s="400" t="s">
        <v>1947</v>
      </c>
      <c r="F33" s="400" t="s">
        <v>1948</v>
      </c>
      <c r="G33" s="400" t="s">
        <v>1949</v>
      </c>
    </row>
    <row r="34">
      <c r="A34" s="409" t="s">
        <v>1950</v>
      </c>
    </row>
    <row r="35">
      <c r="A35" s="410">
        <v>1.0</v>
      </c>
      <c r="B35" s="411" t="s">
        <v>1951</v>
      </c>
      <c r="C35" s="411" t="s">
        <v>1952</v>
      </c>
      <c r="D35" s="412" t="s">
        <v>1137</v>
      </c>
      <c r="E35" s="413" t="s">
        <v>1953</v>
      </c>
      <c r="F35" s="414"/>
      <c r="G35" s="414"/>
    </row>
    <row r="36">
      <c r="A36" s="401">
        <v>2.0</v>
      </c>
      <c r="B36" s="401" t="s">
        <v>1954</v>
      </c>
      <c r="C36" s="401" t="s">
        <v>1955</v>
      </c>
      <c r="D36" s="400" t="s">
        <v>1833</v>
      </c>
      <c r="E36" s="400" t="s">
        <v>1956</v>
      </c>
      <c r="F36" s="400" t="s">
        <v>1957</v>
      </c>
      <c r="G36" s="400" t="s">
        <v>1958</v>
      </c>
    </row>
    <row r="37">
      <c r="A37" s="411">
        <v>3.0</v>
      </c>
      <c r="B37" s="411" t="s">
        <v>1959</v>
      </c>
      <c r="C37" s="411"/>
      <c r="D37" s="412" t="s">
        <v>1960</v>
      </c>
      <c r="E37" s="413" t="s">
        <v>1961</v>
      </c>
      <c r="F37" s="415"/>
      <c r="G37" s="415"/>
    </row>
    <row r="38">
      <c r="A38" s="411">
        <v>4.0</v>
      </c>
      <c r="B38" s="411" t="s">
        <v>146</v>
      </c>
      <c r="C38" s="413" t="s">
        <v>1962</v>
      </c>
      <c r="D38" s="412" t="s">
        <v>1137</v>
      </c>
      <c r="E38" s="413" t="s">
        <v>1963</v>
      </c>
      <c r="F38" s="414"/>
      <c r="G38" s="414"/>
    </row>
    <row r="39">
      <c r="A39" s="411">
        <v>5.0</v>
      </c>
      <c r="B39" s="411" t="s">
        <v>1964</v>
      </c>
      <c r="C39" s="414"/>
      <c r="D39" s="412"/>
      <c r="E39" s="415"/>
      <c r="F39" s="415"/>
      <c r="G39" s="415"/>
    </row>
    <row r="40">
      <c r="A40" s="411">
        <v>6.0</v>
      </c>
      <c r="B40" s="411" t="s">
        <v>628</v>
      </c>
      <c r="C40" s="411" t="s">
        <v>1965</v>
      </c>
      <c r="D40" s="412" t="s">
        <v>1137</v>
      </c>
      <c r="E40" s="413" t="s">
        <v>1966</v>
      </c>
      <c r="F40" s="415"/>
      <c r="G40" s="415"/>
    </row>
    <row r="41">
      <c r="A41" s="413">
        <v>7.0</v>
      </c>
      <c r="B41" s="413" t="s">
        <v>1967</v>
      </c>
      <c r="C41" s="413" t="s">
        <v>1968</v>
      </c>
      <c r="D41" s="412"/>
      <c r="E41" s="415"/>
      <c r="F41" s="415"/>
      <c r="G41" s="415"/>
    </row>
    <row r="42">
      <c r="A42" s="400">
        <v>8.0</v>
      </c>
      <c r="B42" s="400" t="s">
        <v>1969</v>
      </c>
      <c r="C42" s="400" t="s">
        <v>1970</v>
      </c>
      <c r="D42" s="400" t="s">
        <v>1833</v>
      </c>
      <c r="E42" s="400" t="s">
        <v>1971</v>
      </c>
      <c r="F42" s="400" t="s">
        <v>1972</v>
      </c>
      <c r="G42" s="400" t="s">
        <v>1973</v>
      </c>
    </row>
    <row r="43">
      <c r="A43" s="413">
        <v>9.0</v>
      </c>
      <c r="B43" s="413" t="s">
        <v>1969</v>
      </c>
      <c r="C43" s="413" t="s">
        <v>1974</v>
      </c>
      <c r="D43" s="412" t="s">
        <v>1137</v>
      </c>
      <c r="E43" s="413" t="s">
        <v>1975</v>
      </c>
      <c r="F43" s="415"/>
      <c r="G43" s="415"/>
    </row>
    <row r="44">
      <c r="A44" s="404">
        <v>10.0</v>
      </c>
      <c r="B44" s="404" t="s">
        <v>71</v>
      </c>
      <c r="C44" s="404" t="s">
        <v>1976</v>
      </c>
      <c r="D44" s="404" t="s">
        <v>1902</v>
      </c>
      <c r="E44" s="404" t="s">
        <v>1977</v>
      </c>
      <c r="F44" s="404" t="s">
        <v>1978</v>
      </c>
      <c r="G44" s="405"/>
    </row>
    <row r="45">
      <c r="A45" s="400">
        <v>11.0</v>
      </c>
      <c r="B45" s="400" t="s">
        <v>1967</v>
      </c>
      <c r="C45" s="400" t="s">
        <v>1979</v>
      </c>
      <c r="D45" s="400" t="s">
        <v>1833</v>
      </c>
      <c r="E45" s="402"/>
      <c r="F45" s="402"/>
      <c r="G45" s="400" t="s">
        <v>1980</v>
      </c>
    </row>
    <row r="46">
      <c r="A46" s="413">
        <v>12.0</v>
      </c>
      <c r="B46" s="413" t="s">
        <v>1981</v>
      </c>
      <c r="C46" s="413" t="s">
        <v>1982</v>
      </c>
      <c r="D46" s="412" t="s">
        <v>1137</v>
      </c>
      <c r="E46" s="415"/>
      <c r="F46" s="415"/>
      <c r="G46" s="415"/>
    </row>
    <row r="47">
      <c r="A47" s="413">
        <v>13.0</v>
      </c>
      <c r="B47" s="413" t="s">
        <v>1004</v>
      </c>
      <c r="C47" s="413" t="s">
        <v>1983</v>
      </c>
      <c r="D47" s="412"/>
      <c r="E47" s="415"/>
      <c r="F47" s="415"/>
      <c r="G47" s="415"/>
    </row>
    <row r="48">
      <c r="A48" s="415"/>
      <c r="B48" s="415"/>
      <c r="C48" s="415"/>
      <c r="D48" s="412"/>
      <c r="E48" s="415"/>
      <c r="F48" s="415"/>
      <c r="G48" s="415"/>
    </row>
    <row r="49">
      <c r="A49" s="415"/>
      <c r="B49" s="415"/>
      <c r="C49" s="415"/>
      <c r="D49" s="412"/>
      <c r="E49" s="415"/>
      <c r="F49" s="415"/>
      <c r="G49" s="415"/>
    </row>
    <row r="50">
      <c r="A50" s="415"/>
      <c r="B50" s="415"/>
      <c r="C50" s="415"/>
      <c r="D50" s="412"/>
      <c r="E50" s="415"/>
      <c r="F50" s="415"/>
      <c r="G50" s="415"/>
    </row>
    <row r="51">
      <c r="A51" s="415"/>
      <c r="B51" s="415"/>
      <c r="C51" s="415"/>
      <c r="D51" s="412"/>
      <c r="E51" s="415"/>
      <c r="F51" s="415"/>
      <c r="G51" s="415"/>
    </row>
    <row r="52">
      <c r="A52" s="415"/>
      <c r="B52" s="415"/>
      <c r="C52" s="415"/>
      <c r="D52" s="412"/>
      <c r="E52" s="415"/>
      <c r="F52" s="415"/>
      <c r="G52" s="415"/>
    </row>
  </sheetData>
  <autoFilter ref="$A$1:$G$13"/>
  <mergeCells count="5">
    <mergeCell ref="B2:G2"/>
    <mergeCell ref="B4:G4"/>
    <mergeCell ref="A12:G12"/>
    <mergeCell ref="A23:G23"/>
    <mergeCell ref="A34:G34"/>
  </mergeCells>
  <dataValidations>
    <dataValidation type="list" allowBlank="1" showErrorMessage="1" sqref="D3 D5:D11 D13:D22 D24:D33 D35:D52">
      <formula1>"Требуется заполнение брифа,в работе,Готово,Отмена"</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2.88"/>
    <col customWidth="1" min="3" max="3" width="16.13"/>
    <col customWidth="1" min="4" max="4" width="20.0"/>
    <col customWidth="1" min="5" max="5" width="68.5"/>
    <col customWidth="1" min="6" max="6" width="49.88"/>
    <col customWidth="1" min="7" max="7" width="37.63"/>
    <col customWidth="1" min="8" max="8" width="54.25"/>
    <col customWidth="1" min="9" max="9" width="24.0"/>
    <col customWidth="1" min="10" max="10" width="27.25"/>
    <col customWidth="1" min="11" max="11" width="22.88"/>
  </cols>
  <sheetData>
    <row r="1" ht="22.5" customHeight="1">
      <c r="A1" s="177"/>
      <c r="B1" s="183" t="s">
        <v>4</v>
      </c>
      <c r="C1" s="184" t="s">
        <v>1400</v>
      </c>
      <c r="D1" s="184" t="s">
        <v>1401</v>
      </c>
      <c r="E1" s="184" t="s">
        <v>1402</v>
      </c>
      <c r="F1" s="184" t="s">
        <v>1403</v>
      </c>
      <c r="G1" s="184" t="s">
        <v>1404</v>
      </c>
      <c r="H1" s="184" t="s">
        <v>1405</v>
      </c>
      <c r="I1" s="184" t="s">
        <v>1406</v>
      </c>
      <c r="J1" s="184" t="s">
        <v>1407</v>
      </c>
      <c r="K1" s="185" t="s">
        <v>326</v>
      </c>
      <c r="L1" s="177"/>
      <c r="M1" s="177"/>
      <c r="N1" s="177"/>
      <c r="O1" s="177"/>
      <c r="P1" s="177"/>
      <c r="Q1" s="177"/>
      <c r="R1" s="177"/>
      <c r="S1" s="177"/>
      <c r="T1" s="177"/>
      <c r="U1" s="177"/>
      <c r="V1" s="177"/>
      <c r="W1" s="177"/>
      <c r="X1" s="177"/>
      <c r="Y1" s="177"/>
      <c r="Z1" s="177"/>
      <c r="AA1" s="177"/>
      <c r="AB1" s="177"/>
      <c r="AC1" s="177"/>
    </row>
    <row r="2" ht="22.5" customHeight="1">
      <c r="A2" s="177"/>
      <c r="B2" s="207" t="s">
        <v>1459</v>
      </c>
      <c r="C2" s="208">
        <v>8084306.38</v>
      </c>
      <c r="D2" s="208">
        <v>6574626.0</v>
      </c>
      <c r="E2" s="215" t="s">
        <v>1984</v>
      </c>
      <c r="F2" s="210"/>
      <c r="G2" s="210" t="s">
        <v>1985</v>
      </c>
      <c r="H2" s="211"/>
      <c r="I2" s="213" t="s">
        <v>367</v>
      </c>
      <c r="J2" s="213" t="s">
        <v>1461</v>
      </c>
      <c r="K2" s="211"/>
      <c r="L2" s="177"/>
      <c r="M2" s="177"/>
      <c r="N2" s="177"/>
      <c r="O2" s="177"/>
      <c r="P2" s="177"/>
      <c r="Q2" s="177"/>
      <c r="R2" s="177"/>
      <c r="S2" s="177"/>
      <c r="T2" s="177"/>
      <c r="U2" s="177"/>
      <c r="V2" s="177"/>
      <c r="W2" s="177"/>
      <c r="X2" s="177"/>
      <c r="Y2" s="177"/>
      <c r="Z2" s="177"/>
      <c r="AA2" s="177"/>
      <c r="AB2" s="177"/>
      <c r="AC2" s="177"/>
    </row>
    <row r="3" ht="22.5" customHeight="1">
      <c r="A3" s="177"/>
      <c r="B3" s="190" t="s">
        <v>1462</v>
      </c>
      <c r="C3" s="191">
        <v>2844962.01</v>
      </c>
      <c r="D3" s="191">
        <v>1479794.03</v>
      </c>
      <c r="E3" s="193" t="s">
        <v>1463</v>
      </c>
      <c r="F3" s="194" t="s">
        <v>1464</v>
      </c>
      <c r="G3" s="195" t="s">
        <v>1986</v>
      </c>
      <c r="H3" s="203"/>
      <c r="I3" s="194" t="s">
        <v>367</v>
      </c>
      <c r="J3" s="194" t="s">
        <v>1465</v>
      </c>
      <c r="K3" s="203"/>
      <c r="L3" s="177"/>
      <c r="M3" s="177"/>
      <c r="N3" s="177"/>
      <c r="O3" s="177"/>
      <c r="P3" s="177"/>
      <c r="Q3" s="177"/>
      <c r="R3" s="177"/>
      <c r="S3" s="177"/>
      <c r="T3" s="177"/>
      <c r="U3" s="177"/>
      <c r="V3" s="177"/>
      <c r="W3" s="177"/>
      <c r="X3" s="177"/>
      <c r="Y3" s="177"/>
      <c r="Z3" s="177"/>
      <c r="AA3" s="177"/>
      <c r="AB3" s="177"/>
      <c r="AC3" s="177"/>
    </row>
    <row r="4" ht="22.5" customHeight="1">
      <c r="A4" s="177"/>
      <c r="B4" s="207" t="s">
        <v>1444</v>
      </c>
      <c r="C4" s="208">
        <v>2767707.87</v>
      </c>
      <c r="D4" s="208">
        <v>1121265.0</v>
      </c>
      <c r="E4" s="213" t="s">
        <v>1445</v>
      </c>
      <c r="F4" s="211"/>
      <c r="G4" s="211"/>
      <c r="H4" s="211"/>
      <c r="I4" s="210" t="s">
        <v>361</v>
      </c>
      <c r="J4" s="211"/>
      <c r="K4" s="211"/>
      <c r="L4" s="177"/>
      <c r="M4" s="177"/>
      <c r="N4" s="177"/>
      <c r="O4" s="177"/>
      <c r="P4" s="177"/>
      <c r="Q4" s="177"/>
      <c r="R4" s="177"/>
      <c r="S4" s="177"/>
      <c r="T4" s="177"/>
      <c r="U4" s="177"/>
      <c r="V4" s="177"/>
      <c r="W4" s="177"/>
      <c r="X4" s="177"/>
      <c r="Y4" s="177"/>
      <c r="Z4" s="177"/>
      <c r="AA4" s="177"/>
      <c r="AB4" s="177"/>
      <c r="AC4" s="177"/>
    </row>
    <row r="5" ht="22.5" customHeight="1">
      <c r="A5" s="177"/>
      <c r="B5" s="190" t="s">
        <v>1427</v>
      </c>
      <c r="C5" s="191">
        <v>2095178.98</v>
      </c>
      <c r="D5" s="191">
        <v>2300000.0</v>
      </c>
      <c r="E5" s="193" t="s">
        <v>1428</v>
      </c>
      <c r="F5" s="194" t="s">
        <v>1429</v>
      </c>
      <c r="G5" s="194" t="s">
        <v>1430</v>
      </c>
      <c r="H5" s="194" t="s">
        <v>1431</v>
      </c>
      <c r="I5" s="194" t="s">
        <v>125</v>
      </c>
      <c r="J5" s="194" t="s">
        <v>1432</v>
      </c>
      <c r="K5" s="203"/>
      <c r="L5" s="177"/>
      <c r="M5" s="177"/>
      <c r="N5" s="177"/>
      <c r="O5" s="177"/>
      <c r="P5" s="177"/>
      <c r="Q5" s="177"/>
      <c r="R5" s="177"/>
      <c r="S5" s="177"/>
      <c r="T5" s="177"/>
      <c r="U5" s="177"/>
      <c r="V5" s="177"/>
      <c r="W5" s="177"/>
      <c r="X5" s="177"/>
      <c r="Y5" s="177"/>
      <c r="Z5" s="177"/>
      <c r="AA5" s="177"/>
      <c r="AB5" s="177"/>
      <c r="AC5" s="177"/>
    </row>
    <row r="6" ht="22.5" customHeight="1">
      <c r="A6" s="177"/>
      <c r="B6" s="207" t="s">
        <v>812</v>
      </c>
      <c r="C6" s="208">
        <v>1996805.6</v>
      </c>
      <c r="D6" s="208">
        <v>1470000.0</v>
      </c>
      <c r="E6" s="213" t="s">
        <v>1447</v>
      </c>
      <c r="F6" s="213" t="s">
        <v>1448</v>
      </c>
      <c r="G6" s="213" t="s">
        <v>1448</v>
      </c>
      <c r="H6" s="211"/>
      <c r="I6" s="210" t="s">
        <v>361</v>
      </c>
      <c r="J6" s="211"/>
      <c r="K6" s="211"/>
      <c r="L6" s="177"/>
      <c r="M6" s="177"/>
      <c r="N6" s="177"/>
      <c r="O6" s="177"/>
      <c r="P6" s="177"/>
      <c r="Q6" s="177"/>
      <c r="R6" s="177"/>
      <c r="S6" s="177"/>
      <c r="T6" s="177"/>
      <c r="U6" s="177"/>
      <c r="V6" s="177"/>
      <c r="W6" s="177"/>
      <c r="X6" s="177"/>
      <c r="Y6" s="177"/>
      <c r="Z6" s="177"/>
      <c r="AA6" s="177"/>
      <c r="AB6" s="177"/>
      <c r="AC6" s="177"/>
    </row>
    <row r="7" ht="22.5" customHeight="1">
      <c r="A7" s="177"/>
      <c r="B7" s="190" t="s">
        <v>1420</v>
      </c>
      <c r="C7" s="191">
        <v>1846358.56</v>
      </c>
      <c r="D7" s="191">
        <v>899370.0</v>
      </c>
      <c r="E7" s="194" t="s">
        <v>1987</v>
      </c>
      <c r="F7" s="194" t="s">
        <v>1422</v>
      </c>
      <c r="G7" s="195"/>
      <c r="H7" s="194" t="s">
        <v>1423</v>
      </c>
      <c r="I7" s="194" t="s">
        <v>1424</v>
      </c>
      <c r="J7" s="194" t="s">
        <v>1988</v>
      </c>
      <c r="K7" s="203"/>
      <c r="L7" s="177"/>
      <c r="M7" s="177"/>
      <c r="N7" s="177"/>
      <c r="O7" s="177"/>
      <c r="P7" s="177"/>
      <c r="Q7" s="177"/>
      <c r="R7" s="177"/>
      <c r="S7" s="177"/>
      <c r="T7" s="177"/>
      <c r="U7" s="177"/>
      <c r="V7" s="177"/>
      <c r="W7" s="177"/>
      <c r="X7" s="177"/>
      <c r="Y7" s="177"/>
      <c r="Z7" s="177"/>
      <c r="AA7" s="177"/>
      <c r="AB7" s="177"/>
      <c r="AC7" s="177"/>
    </row>
    <row r="8" ht="22.5" customHeight="1">
      <c r="A8" s="177"/>
      <c r="B8" s="207" t="s">
        <v>1022</v>
      </c>
      <c r="C8" s="208">
        <v>1627859.36</v>
      </c>
      <c r="D8" s="208">
        <v>300000.0</v>
      </c>
      <c r="E8" s="215" t="s">
        <v>1466</v>
      </c>
      <c r="F8" s="211"/>
      <c r="G8" s="210" t="s">
        <v>1989</v>
      </c>
      <c r="H8" s="211"/>
      <c r="I8" s="213" t="s">
        <v>367</v>
      </c>
      <c r="J8" s="211"/>
      <c r="K8" s="211"/>
      <c r="L8" s="177"/>
      <c r="M8" s="177"/>
      <c r="N8" s="177"/>
      <c r="O8" s="177"/>
      <c r="P8" s="177"/>
      <c r="Q8" s="177"/>
      <c r="R8" s="177"/>
      <c r="S8" s="177"/>
      <c r="T8" s="177"/>
      <c r="U8" s="177"/>
      <c r="V8" s="177"/>
      <c r="W8" s="177"/>
      <c r="X8" s="177"/>
      <c r="Y8" s="177"/>
      <c r="Z8" s="177"/>
      <c r="AA8" s="177"/>
      <c r="AB8" s="177"/>
      <c r="AC8" s="177"/>
    </row>
    <row r="9" ht="22.5" customHeight="1">
      <c r="A9" s="177"/>
      <c r="B9" s="190" t="s">
        <v>1449</v>
      </c>
      <c r="C9" s="191">
        <v>1606837.5</v>
      </c>
      <c r="D9" s="191">
        <v>1300000.0</v>
      </c>
      <c r="E9" s="193" t="s">
        <v>1450</v>
      </c>
      <c r="F9" s="203"/>
      <c r="G9" s="203"/>
      <c r="H9" s="203"/>
      <c r="I9" s="195" t="s">
        <v>361</v>
      </c>
      <c r="J9" s="203"/>
      <c r="K9" s="203"/>
      <c r="L9" s="177"/>
      <c r="M9" s="177"/>
      <c r="N9" s="177"/>
      <c r="O9" s="177"/>
      <c r="P9" s="177"/>
      <c r="Q9" s="177"/>
      <c r="R9" s="177"/>
      <c r="S9" s="177"/>
      <c r="T9" s="177"/>
      <c r="U9" s="177"/>
      <c r="V9" s="177"/>
      <c r="W9" s="177"/>
      <c r="X9" s="177"/>
      <c r="Y9" s="177"/>
      <c r="Z9" s="177"/>
      <c r="AA9" s="177"/>
      <c r="AB9" s="177"/>
      <c r="AC9" s="177"/>
    </row>
    <row r="10" ht="22.5" customHeight="1">
      <c r="A10" s="177"/>
      <c r="B10" s="207" t="s">
        <v>1018</v>
      </c>
      <c r="C10" s="208">
        <v>1367363.5</v>
      </c>
      <c r="D10" s="209">
        <v>1000000.0</v>
      </c>
      <c r="E10" s="210" t="s">
        <v>1467</v>
      </c>
      <c r="F10" s="211"/>
      <c r="G10" s="211"/>
      <c r="H10" s="211"/>
      <c r="I10" s="210" t="s">
        <v>367</v>
      </c>
      <c r="J10" s="211"/>
      <c r="K10" s="211"/>
      <c r="L10" s="177"/>
      <c r="M10" s="177"/>
      <c r="N10" s="177"/>
      <c r="O10" s="177"/>
      <c r="P10" s="177"/>
      <c r="Q10" s="177"/>
      <c r="R10" s="177"/>
      <c r="S10" s="177"/>
      <c r="T10" s="177"/>
      <c r="U10" s="177"/>
      <c r="V10" s="177"/>
      <c r="W10" s="177"/>
      <c r="X10" s="177"/>
      <c r="Y10" s="177"/>
      <c r="Z10" s="177"/>
      <c r="AA10" s="177"/>
      <c r="AB10" s="177"/>
      <c r="AC10" s="177"/>
    </row>
    <row r="11" ht="22.5" customHeight="1">
      <c r="A11" s="177"/>
      <c r="B11" s="190" t="s">
        <v>1433</v>
      </c>
      <c r="C11" s="191">
        <v>1336338.48</v>
      </c>
      <c r="D11" s="192">
        <v>0.0</v>
      </c>
      <c r="E11" s="190" t="s">
        <v>1434</v>
      </c>
      <c r="F11" s="190" t="s">
        <v>1435</v>
      </c>
      <c r="G11" s="190" t="s">
        <v>1436</v>
      </c>
      <c r="H11" s="190" t="s">
        <v>1437</v>
      </c>
      <c r="I11" s="190" t="s">
        <v>125</v>
      </c>
      <c r="J11" s="190" t="s">
        <v>1990</v>
      </c>
      <c r="K11" s="190" t="s">
        <v>1991</v>
      </c>
      <c r="L11" s="177"/>
      <c r="M11" s="177"/>
      <c r="N11" s="177"/>
      <c r="O11" s="177"/>
      <c r="P11" s="177"/>
      <c r="Q11" s="177"/>
      <c r="R11" s="177"/>
      <c r="S11" s="177"/>
      <c r="T11" s="177"/>
      <c r="U11" s="177"/>
      <c r="V11" s="177"/>
      <c r="W11" s="177"/>
      <c r="X11" s="177"/>
      <c r="Y11" s="177"/>
      <c r="Z11" s="177"/>
      <c r="AA11" s="177"/>
      <c r="AB11" s="177"/>
      <c r="AC11" s="177"/>
    </row>
    <row r="12" ht="87.0" customHeight="1">
      <c r="A12" s="177"/>
      <c r="B12" s="207" t="s">
        <v>1453</v>
      </c>
      <c r="C12" s="208">
        <v>1249729.0</v>
      </c>
      <c r="D12" s="209">
        <v>1200000.0</v>
      </c>
      <c r="E12" s="213" t="s">
        <v>1992</v>
      </c>
      <c r="F12" s="210" t="s">
        <v>1455</v>
      </c>
      <c r="G12" s="211"/>
      <c r="H12" s="211"/>
      <c r="I12" s="213" t="s">
        <v>418</v>
      </c>
      <c r="J12" s="210" t="s">
        <v>1456</v>
      </c>
      <c r="K12" s="211"/>
      <c r="L12" s="177"/>
      <c r="M12" s="177"/>
      <c r="N12" s="177"/>
      <c r="O12" s="177"/>
      <c r="P12" s="177"/>
      <c r="Q12" s="177"/>
      <c r="R12" s="177"/>
      <c r="S12" s="177"/>
      <c r="T12" s="177"/>
      <c r="U12" s="177"/>
      <c r="V12" s="177"/>
      <c r="W12" s="177"/>
      <c r="X12" s="177"/>
      <c r="Y12" s="177"/>
      <c r="Z12" s="177"/>
      <c r="AA12" s="177"/>
      <c r="AB12" s="177"/>
      <c r="AC12" s="177"/>
    </row>
    <row r="13" ht="61.5" customHeight="1">
      <c r="A13" s="177"/>
      <c r="B13" s="190" t="s">
        <v>415</v>
      </c>
      <c r="C13" s="191">
        <v>1219597.88</v>
      </c>
      <c r="D13" s="192">
        <v>1000000.0</v>
      </c>
      <c r="E13" s="194" t="s">
        <v>1993</v>
      </c>
      <c r="F13" s="195"/>
      <c r="G13" s="203"/>
      <c r="H13" s="203"/>
      <c r="I13" s="194" t="s">
        <v>418</v>
      </c>
      <c r="J13" s="203"/>
      <c r="K13" s="203"/>
      <c r="L13" s="177"/>
      <c r="M13" s="177"/>
      <c r="N13" s="177"/>
      <c r="O13" s="177"/>
      <c r="P13" s="177"/>
      <c r="Q13" s="177"/>
      <c r="R13" s="177"/>
      <c r="S13" s="177"/>
      <c r="T13" s="177"/>
      <c r="U13" s="177"/>
      <c r="V13" s="177"/>
      <c r="W13" s="177"/>
      <c r="X13" s="177"/>
      <c r="Y13" s="177"/>
      <c r="Z13" s="177"/>
      <c r="AA13" s="177"/>
      <c r="AB13" s="177"/>
      <c r="AC13" s="177"/>
    </row>
    <row r="14" ht="22.5" customHeight="1">
      <c r="A14" s="177"/>
      <c r="B14" s="207" t="s">
        <v>1458</v>
      </c>
      <c r="C14" s="208">
        <v>1171550.0</v>
      </c>
      <c r="D14" s="209">
        <v>1000000.0</v>
      </c>
      <c r="E14" s="211"/>
      <c r="F14" s="211"/>
      <c r="G14" s="211"/>
      <c r="H14" s="211"/>
      <c r="I14" s="213" t="s">
        <v>418</v>
      </c>
      <c r="J14" s="211"/>
      <c r="K14" s="211"/>
      <c r="L14" s="177"/>
      <c r="M14" s="177"/>
      <c r="N14" s="177"/>
      <c r="O14" s="177"/>
      <c r="P14" s="177"/>
      <c r="Q14" s="177"/>
      <c r="R14" s="177"/>
      <c r="S14" s="177"/>
      <c r="T14" s="177"/>
      <c r="U14" s="177"/>
      <c r="V14" s="177"/>
      <c r="W14" s="177"/>
      <c r="X14" s="177"/>
      <c r="Y14" s="177"/>
      <c r="Z14" s="177"/>
      <c r="AA14" s="177"/>
      <c r="AB14" s="177"/>
      <c r="AC14" s="177"/>
    </row>
    <row r="15" ht="22.5" customHeight="1">
      <c r="A15" s="177"/>
      <c r="B15" s="190" t="s">
        <v>1451</v>
      </c>
      <c r="C15" s="191">
        <v>804663.2</v>
      </c>
      <c r="D15" s="264">
        <v>0.0</v>
      </c>
      <c r="E15" s="194" t="s">
        <v>1452</v>
      </c>
      <c r="F15" s="203"/>
      <c r="G15" s="203"/>
      <c r="H15" s="203"/>
      <c r="I15" s="195" t="s">
        <v>361</v>
      </c>
      <c r="J15" s="203"/>
      <c r="K15" s="203"/>
      <c r="L15" s="177"/>
      <c r="M15" s="177"/>
      <c r="N15" s="177"/>
      <c r="O15" s="177"/>
      <c r="P15" s="177"/>
      <c r="Q15" s="177"/>
      <c r="R15" s="177"/>
      <c r="S15" s="177"/>
      <c r="T15" s="177"/>
      <c r="U15" s="177"/>
      <c r="V15" s="177"/>
      <c r="W15" s="177"/>
      <c r="X15" s="177"/>
      <c r="Y15" s="177"/>
      <c r="Z15" s="177"/>
      <c r="AA15" s="177"/>
      <c r="AB15" s="177"/>
      <c r="AC15" s="177"/>
    </row>
    <row r="16" ht="22.5" customHeight="1">
      <c r="A16" s="177"/>
      <c r="B16" s="207" t="s">
        <v>1439</v>
      </c>
      <c r="C16" s="208">
        <v>797569.9</v>
      </c>
      <c r="D16" s="209">
        <v>500000.0</v>
      </c>
      <c r="E16" s="210" t="s">
        <v>1440</v>
      </c>
      <c r="F16" s="211"/>
      <c r="G16" s="211"/>
      <c r="H16" s="211"/>
      <c r="I16" s="210" t="s">
        <v>1441</v>
      </c>
      <c r="J16" s="210" t="s">
        <v>1994</v>
      </c>
      <c r="K16" s="210" t="s">
        <v>1995</v>
      </c>
      <c r="L16" s="177"/>
      <c r="M16" s="177"/>
      <c r="N16" s="177"/>
      <c r="O16" s="177"/>
      <c r="P16" s="177"/>
      <c r="Q16" s="177"/>
      <c r="R16" s="177"/>
      <c r="S16" s="177"/>
      <c r="T16" s="177"/>
      <c r="U16" s="177"/>
      <c r="V16" s="177"/>
      <c r="W16" s="177"/>
      <c r="X16" s="177"/>
      <c r="Y16" s="177"/>
      <c r="Z16" s="177"/>
      <c r="AA16" s="177"/>
      <c r="AB16" s="177"/>
      <c r="AC16" s="177"/>
    </row>
    <row r="17" ht="22.5" customHeight="1">
      <c r="A17" s="177"/>
      <c r="B17" s="190" t="s">
        <v>1468</v>
      </c>
      <c r="C17" s="416">
        <f t="shared" ref="C17:D17" si="1">SUM(C2:C16)</f>
        <v>30816828.22</v>
      </c>
      <c r="D17" s="416">
        <f t="shared" si="1"/>
        <v>20145055.03</v>
      </c>
      <c r="E17" s="203"/>
      <c r="F17" s="203"/>
      <c r="G17" s="203"/>
      <c r="H17" s="203"/>
      <c r="I17" s="203"/>
      <c r="J17" s="203"/>
      <c r="K17" s="203"/>
      <c r="L17" s="177"/>
      <c r="M17" s="177"/>
      <c r="N17" s="177"/>
      <c r="O17" s="177"/>
      <c r="P17" s="177"/>
      <c r="Q17" s="177"/>
      <c r="R17" s="177"/>
      <c r="S17" s="177"/>
      <c r="T17" s="177"/>
      <c r="U17" s="177"/>
      <c r="V17" s="177"/>
      <c r="W17" s="177"/>
      <c r="X17" s="177"/>
      <c r="Y17" s="177"/>
      <c r="Z17" s="177"/>
      <c r="AA17" s="177"/>
      <c r="AB17" s="177"/>
      <c r="AC17" s="177"/>
    </row>
    <row r="18">
      <c r="A18" s="177"/>
      <c r="B18" s="177"/>
      <c r="C18" s="177"/>
      <c r="D18" s="177"/>
      <c r="E18" s="177"/>
      <c r="F18" s="177"/>
      <c r="G18" s="177"/>
      <c r="H18" s="177"/>
      <c r="I18" s="177"/>
      <c r="J18" s="177"/>
      <c r="K18" s="177"/>
      <c r="L18" s="177"/>
      <c r="M18" s="177"/>
      <c r="N18" s="177"/>
      <c r="O18" s="177"/>
      <c r="P18" s="177"/>
      <c r="Q18" s="177"/>
      <c r="R18" s="177"/>
      <c r="S18" s="177"/>
      <c r="T18" s="177"/>
      <c r="U18" s="177"/>
      <c r="V18" s="177"/>
      <c r="W18" s="177"/>
      <c r="X18" s="177"/>
      <c r="Y18" s="177"/>
      <c r="Z18" s="177"/>
      <c r="AA18" s="177"/>
      <c r="AB18" s="177"/>
      <c r="AC18" s="177"/>
    </row>
    <row r="19">
      <c r="A19" s="177"/>
      <c r="B19" s="181"/>
      <c r="C19" s="181"/>
      <c r="D19" s="181"/>
      <c r="E19" s="181"/>
      <c r="F19" s="181"/>
      <c r="G19" s="181"/>
      <c r="H19" s="181"/>
      <c r="I19" s="181"/>
      <c r="J19" s="181"/>
      <c r="K19" s="181"/>
      <c r="L19" s="177"/>
      <c r="M19" s="177"/>
      <c r="N19" s="177"/>
      <c r="O19" s="177"/>
      <c r="P19" s="177"/>
      <c r="Q19" s="177"/>
      <c r="R19" s="177"/>
      <c r="S19" s="177"/>
      <c r="T19" s="177"/>
      <c r="U19" s="177"/>
      <c r="V19" s="177"/>
      <c r="W19" s="177"/>
      <c r="X19" s="177"/>
      <c r="Y19" s="177"/>
      <c r="Z19" s="177"/>
      <c r="AA19" s="177"/>
      <c r="AB19" s="177"/>
      <c r="AC19" s="177"/>
    </row>
    <row r="20" ht="22.5" customHeight="1">
      <c r="A20" s="177"/>
      <c r="B20" s="249" t="s">
        <v>4</v>
      </c>
      <c r="C20" s="250" t="s">
        <v>1400</v>
      </c>
      <c r="D20" s="250" t="s">
        <v>1473</v>
      </c>
      <c r="E20" s="250" t="s">
        <v>1402</v>
      </c>
      <c r="F20" s="250" t="s">
        <v>1403</v>
      </c>
      <c r="G20" s="250" t="s">
        <v>1404</v>
      </c>
      <c r="H20" s="250" t="s">
        <v>1405</v>
      </c>
      <c r="I20" s="250" t="s">
        <v>1406</v>
      </c>
      <c r="J20" s="250" t="s">
        <v>1407</v>
      </c>
      <c r="K20" s="251" t="s">
        <v>326</v>
      </c>
      <c r="L20" s="177"/>
      <c r="M20" s="177"/>
      <c r="N20" s="177"/>
      <c r="O20" s="177"/>
      <c r="P20" s="177"/>
      <c r="Q20" s="177"/>
      <c r="R20" s="177"/>
      <c r="S20" s="177"/>
      <c r="T20" s="177"/>
      <c r="U20" s="177"/>
      <c r="V20" s="177"/>
      <c r="W20" s="177"/>
      <c r="X20" s="177"/>
      <c r="Y20" s="177"/>
      <c r="Z20" s="177"/>
      <c r="AA20" s="177"/>
      <c r="AB20" s="177"/>
      <c r="AC20" s="177"/>
    </row>
    <row r="21" ht="22.5" customHeight="1">
      <c r="A21" s="177"/>
      <c r="B21" s="207" t="s">
        <v>1474</v>
      </c>
      <c r="C21" s="208">
        <v>596160.0</v>
      </c>
      <c r="D21" s="208">
        <v>582000.0</v>
      </c>
      <c r="E21" s="213" t="s">
        <v>1475</v>
      </c>
      <c r="F21" s="207" t="s">
        <v>1476</v>
      </c>
      <c r="G21" s="207" t="s">
        <v>1477</v>
      </c>
      <c r="H21" s="207" t="s">
        <v>1478</v>
      </c>
      <c r="I21" s="207" t="s">
        <v>361</v>
      </c>
      <c r="J21" s="207" t="s">
        <v>1479</v>
      </c>
      <c r="K21" s="211"/>
      <c r="L21" s="177"/>
      <c r="M21" s="177"/>
      <c r="N21" s="177"/>
      <c r="O21" s="177"/>
      <c r="P21" s="177"/>
      <c r="Q21" s="177"/>
      <c r="R21" s="177"/>
      <c r="S21" s="177"/>
      <c r="T21" s="177"/>
      <c r="U21" s="177"/>
      <c r="V21" s="177"/>
      <c r="W21" s="177"/>
      <c r="X21" s="177"/>
      <c r="Y21" s="177"/>
      <c r="Z21" s="177"/>
      <c r="AA21" s="177"/>
      <c r="AB21" s="177"/>
      <c r="AC21" s="177"/>
    </row>
    <row r="22" ht="22.5" customHeight="1">
      <c r="A22" s="177"/>
      <c r="B22" s="417" t="s">
        <v>1480</v>
      </c>
      <c r="C22" s="418">
        <v>307364.72</v>
      </c>
      <c r="D22" s="418">
        <v>0.0</v>
      </c>
      <c r="E22" s="419" t="s">
        <v>1481</v>
      </c>
      <c r="F22" s="420"/>
      <c r="G22" s="420"/>
      <c r="H22" s="420"/>
      <c r="I22" s="417" t="s">
        <v>367</v>
      </c>
      <c r="J22" s="195" t="s">
        <v>1482</v>
      </c>
      <c r="K22" s="203"/>
      <c r="L22" s="177"/>
      <c r="M22" s="177"/>
      <c r="N22" s="177"/>
      <c r="O22" s="177"/>
      <c r="P22" s="177"/>
      <c r="Q22" s="177"/>
      <c r="R22" s="177"/>
      <c r="S22" s="177"/>
      <c r="T22" s="177"/>
      <c r="U22" s="177"/>
      <c r="V22" s="177"/>
      <c r="W22" s="177"/>
      <c r="X22" s="177"/>
      <c r="Y22" s="177"/>
      <c r="Z22" s="177"/>
      <c r="AA22" s="177"/>
      <c r="AB22" s="177"/>
      <c r="AC22" s="177"/>
    </row>
    <row r="23" ht="22.5" customHeight="1">
      <c r="A23" s="177"/>
      <c r="B23" s="207" t="s">
        <v>91</v>
      </c>
      <c r="C23" s="208">
        <v>259834.0</v>
      </c>
      <c r="D23" s="208">
        <v>600000.0</v>
      </c>
      <c r="E23" s="207" t="s">
        <v>1486</v>
      </c>
      <c r="F23" s="207" t="s">
        <v>1487</v>
      </c>
      <c r="G23" s="211"/>
      <c r="H23" s="207" t="s">
        <v>1488</v>
      </c>
      <c r="I23" s="207" t="s">
        <v>125</v>
      </c>
      <c r="J23" s="207" t="s">
        <v>1996</v>
      </c>
      <c r="K23" s="211"/>
      <c r="L23" s="177"/>
      <c r="M23" s="177"/>
      <c r="N23" s="177"/>
      <c r="O23" s="177"/>
      <c r="P23" s="177"/>
      <c r="Q23" s="177"/>
      <c r="R23" s="177"/>
      <c r="S23" s="177"/>
      <c r="T23" s="177"/>
      <c r="U23" s="177"/>
      <c r="V23" s="177"/>
      <c r="W23" s="177"/>
      <c r="X23" s="177"/>
      <c r="Y23" s="177"/>
      <c r="Z23" s="177"/>
      <c r="AA23" s="177"/>
      <c r="AB23" s="177"/>
      <c r="AC23" s="177"/>
    </row>
    <row r="24" ht="22.5" customHeight="1">
      <c r="A24" s="177"/>
      <c r="B24" s="190" t="s">
        <v>1491</v>
      </c>
      <c r="C24" s="191">
        <v>203530.0</v>
      </c>
      <c r="D24" s="264">
        <v>350000.0</v>
      </c>
      <c r="E24" s="195" t="s">
        <v>1492</v>
      </c>
      <c r="F24" s="195" t="s">
        <v>1997</v>
      </c>
      <c r="G24" s="203"/>
      <c r="H24" s="195" t="s">
        <v>1494</v>
      </c>
      <c r="I24" s="190" t="s">
        <v>418</v>
      </c>
      <c r="J24" s="203"/>
      <c r="K24" s="203"/>
      <c r="L24" s="177"/>
      <c r="M24" s="177"/>
      <c r="N24" s="177"/>
      <c r="O24" s="177"/>
      <c r="P24" s="177"/>
      <c r="Q24" s="177"/>
      <c r="R24" s="177"/>
      <c r="S24" s="177"/>
      <c r="T24" s="177"/>
      <c r="U24" s="177"/>
      <c r="V24" s="177"/>
      <c r="W24" s="177"/>
      <c r="X24" s="177"/>
      <c r="Y24" s="177"/>
      <c r="Z24" s="177"/>
      <c r="AA24" s="177"/>
      <c r="AB24" s="177"/>
      <c r="AC24" s="177"/>
    </row>
    <row r="25" ht="64.5" customHeight="1">
      <c r="A25" s="177"/>
      <c r="B25" s="207" t="s">
        <v>1503</v>
      </c>
      <c r="C25" s="208">
        <v>110897.0</v>
      </c>
      <c r="D25" s="266">
        <v>350000.0</v>
      </c>
      <c r="E25" s="210" t="s">
        <v>1504</v>
      </c>
      <c r="F25" s="210" t="s">
        <v>1505</v>
      </c>
      <c r="G25" s="211"/>
      <c r="H25" s="210" t="s">
        <v>1506</v>
      </c>
      <c r="I25" s="207" t="s">
        <v>418</v>
      </c>
      <c r="J25" s="211"/>
      <c r="K25" s="211"/>
      <c r="L25" s="177"/>
      <c r="M25" s="177"/>
      <c r="N25" s="177"/>
      <c r="O25" s="177"/>
      <c r="P25" s="177"/>
      <c r="Q25" s="177"/>
      <c r="R25" s="177"/>
      <c r="S25" s="177"/>
      <c r="T25" s="177"/>
      <c r="U25" s="177"/>
      <c r="V25" s="177"/>
      <c r="W25" s="177"/>
      <c r="X25" s="177"/>
      <c r="Y25" s="177"/>
      <c r="Z25" s="177"/>
      <c r="AA25" s="177"/>
      <c r="AB25" s="177"/>
      <c r="AC25" s="177"/>
    </row>
    <row r="26" ht="22.5" customHeight="1">
      <c r="A26" s="177"/>
      <c r="B26" s="190" t="s">
        <v>546</v>
      </c>
      <c r="C26" s="191">
        <v>99900.0</v>
      </c>
      <c r="D26" s="421"/>
      <c r="E26" s="190" t="s">
        <v>1511</v>
      </c>
      <c r="F26" s="190" t="s">
        <v>1512</v>
      </c>
      <c r="G26" s="190" t="s">
        <v>1513</v>
      </c>
      <c r="H26" s="190" t="s">
        <v>1514</v>
      </c>
      <c r="I26" s="190" t="s">
        <v>125</v>
      </c>
      <c r="J26" s="203"/>
      <c r="K26" s="203"/>
      <c r="L26" s="177"/>
      <c r="M26" s="177"/>
      <c r="N26" s="177"/>
      <c r="O26" s="177"/>
      <c r="P26" s="177"/>
      <c r="Q26" s="177"/>
      <c r="R26" s="177"/>
      <c r="S26" s="177"/>
      <c r="T26" s="177"/>
      <c r="U26" s="177"/>
      <c r="V26" s="177"/>
      <c r="W26" s="177"/>
      <c r="X26" s="177"/>
      <c r="Y26" s="177"/>
      <c r="Z26" s="177"/>
      <c r="AA26" s="177"/>
      <c r="AB26" s="177"/>
      <c r="AC26" s="177"/>
    </row>
    <row r="27" ht="22.5" customHeight="1">
      <c r="A27" s="177"/>
      <c r="B27" s="207" t="s">
        <v>1527</v>
      </c>
      <c r="C27" s="208">
        <v>50673.0</v>
      </c>
      <c r="D27" s="422"/>
      <c r="E27" s="211"/>
      <c r="F27" s="211"/>
      <c r="G27" s="211"/>
      <c r="H27" s="211"/>
      <c r="I27" s="211"/>
      <c r="J27" s="211"/>
      <c r="K27" s="211"/>
      <c r="L27" s="177"/>
      <c r="M27" s="177"/>
      <c r="N27" s="177"/>
      <c r="O27" s="177"/>
      <c r="P27" s="177"/>
      <c r="Q27" s="177"/>
      <c r="R27" s="177"/>
      <c r="S27" s="177"/>
      <c r="T27" s="177"/>
      <c r="U27" s="177"/>
      <c r="V27" s="177"/>
      <c r="W27" s="177"/>
      <c r="X27" s="177"/>
      <c r="Y27" s="177"/>
      <c r="Z27" s="177"/>
      <c r="AA27" s="177"/>
      <c r="AB27" s="177"/>
      <c r="AC27" s="177"/>
    </row>
    <row r="28" ht="22.5" customHeight="1">
      <c r="A28" s="177"/>
      <c r="B28" s="190" t="s">
        <v>1533</v>
      </c>
      <c r="C28" s="191">
        <v>35202.0</v>
      </c>
      <c r="D28" s="421"/>
      <c r="E28" s="190" t="s">
        <v>1534</v>
      </c>
      <c r="F28" s="190" t="s">
        <v>1535</v>
      </c>
      <c r="G28" s="190" t="s">
        <v>1536</v>
      </c>
      <c r="H28" s="190" t="s">
        <v>1537</v>
      </c>
      <c r="I28" s="190" t="s">
        <v>125</v>
      </c>
      <c r="J28" s="190" t="s">
        <v>1538</v>
      </c>
      <c r="K28" s="203"/>
      <c r="L28" s="177"/>
      <c r="M28" s="177"/>
      <c r="N28" s="177"/>
      <c r="O28" s="177"/>
      <c r="P28" s="177"/>
      <c r="Q28" s="177"/>
      <c r="R28" s="177"/>
      <c r="S28" s="177"/>
      <c r="T28" s="177"/>
      <c r="U28" s="177"/>
      <c r="V28" s="177"/>
      <c r="W28" s="177"/>
      <c r="X28" s="177"/>
      <c r="Y28" s="177"/>
      <c r="Z28" s="177"/>
      <c r="AA28" s="177"/>
      <c r="AB28" s="177"/>
      <c r="AC28" s="177"/>
    </row>
    <row r="29" ht="22.5" customHeight="1">
      <c r="A29" s="177"/>
      <c r="B29" s="207" t="s">
        <v>1540</v>
      </c>
      <c r="C29" s="208">
        <v>7863.0</v>
      </c>
      <c r="D29" s="208">
        <v>600000.0</v>
      </c>
      <c r="E29" s="207" t="s">
        <v>1541</v>
      </c>
      <c r="F29" s="207" t="s">
        <v>1542</v>
      </c>
      <c r="G29" s="211"/>
      <c r="H29" s="211"/>
      <c r="I29" s="207" t="s">
        <v>418</v>
      </c>
      <c r="J29" s="207" t="s">
        <v>1998</v>
      </c>
      <c r="K29" s="211"/>
      <c r="L29" s="177"/>
      <c r="M29" s="177"/>
      <c r="N29" s="177"/>
      <c r="O29" s="177"/>
      <c r="P29" s="177"/>
      <c r="Q29" s="177"/>
      <c r="R29" s="177"/>
      <c r="S29" s="177"/>
      <c r="T29" s="177"/>
      <c r="U29" s="177"/>
      <c r="V29" s="177"/>
      <c r="W29" s="177"/>
      <c r="X29" s="177"/>
      <c r="Y29" s="177"/>
      <c r="Z29" s="177"/>
      <c r="AA29" s="177"/>
      <c r="AB29" s="177"/>
      <c r="AC29" s="177"/>
    </row>
    <row r="30" ht="22.5" customHeight="1">
      <c r="A30" s="177"/>
      <c r="B30" s="190" t="s">
        <v>608</v>
      </c>
      <c r="C30" s="191">
        <v>7278.0</v>
      </c>
      <c r="D30" s="421"/>
      <c r="E30" s="203"/>
      <c r="F30" s="203"/>
      <c r="G30" s="203"/>
      <c r="H30" s="203"/>
      <c r="I30" s="190" t="s">
        <v>418</v>
      </c>
      <c r="J30" s="203"/>
      <c r="K30" s="203"/>
      <c r="L30" s="177"/>
      <c r="M30" s="177"/>
      <c r="N30" s="177"/>
      <c r="O30" s="177"/>
      <c r="P30" s="177"/>
      <c r="Q30" s="177"/>
      <c r="R30" s="177"/>
      <c r="S30" s="177"/>
      <c r="T30" s="177"/>
      <c r="U30" s="177"/>
      <c r="V30" s="177"/>
      <c r="W30" s="177"/>
      <c r="X30" s="177"/>
      <c r="Y30" s="177"/>
      <c r="Z30" s="177"/>
      <c r="AA30" s="177"/>
      <c r="AB30" s="177"/>
      <c r="AC30" s="177"/>
    </row>
    <row r="31" ht="22.5" customHeight="1">
      <c r="A31" s="177"/>
      <c r="B31" s="215" t="s">
        <v>1495</v>
      </c>
      <c r="C31" s="316"/>
      <c r="D31" s="266">
        <v>200000.0</v>
      </c>
      <c r="E31" s="210" t="s">
        <v>1496</v>
      </c>
      <c r="F31" s="211"/>
      <c r="G31" s="211"/>
      <c r="H31" s="211"/>
      <c r="I31" s="190" t="s">
        <v>418</v>
      </c>
      <c r="J31" s="211"/>
      <c r="K31" s="211"/>
      <c r="L31" s="177"/>
      <c r="M31" s="177"/>
      <c r="N31" s="177"/>
      <c r="O31" s="177"/>
      <c r="P31" s="177"/>
      <c r="Q31" s="177"/>
      <c r="R31" s="177"/>
      <c r="S31" s="177"/>
      <c r="T31" s="177"/>
      <c r="U31" s="177"/>
      <c r="V31" s="177"/>
      <c r="W31" s="177"/>
      <c r="X31" s="177"/>
      <c r="Y31" s="177"/>
      <c r="Z31" s="177"/>
      <c r="AA31" s="177"/>
      <c r="AB31" s="177"/>
      <c r="AC31" s="177"/>
    </row>
    <row r="32" ht="22.5" customHeight="1">
      <c r="A32" s="177"/>
      <c r="B32" s="193" t="s">
        <v>471</v>
      </c>
      <c r="C32" s="263"/>
      <c r="D32" s="264">
        <v>200000.0</v>
      </c>
      <c r="E32" s="195" t="s">
        <v>1564</v>
      </c>
      <c r="F32" s="195" t="s">
        <v>1565</v>
      </c>
      <c r="G32" s="203"/>
      <c r="H32" s="195" t="s">
        <v>1566</v>
      </c>
      <c r="I32" s="195" t="s">
        <v>125</v>
      </c>
      <c r="J32" s="195" t="s">
        <v>1567</v>
      </c>
      <c r="K32" s="203"/>
      <c r="L32" s="177"/>
      <c r="M32" s="177"/>
      <c r="N32" s="177"/>
      <c r="O32" s="177"/>
      <c r="P32" s="177"/>
      <c r="Q32" s="177"/>
      <c r="R32" s="177"/>
      <c r="S32" s="177"/>
      <c r="T32" s="177"/>
      <c r="U32" s="177"/>
      <c r="V32" s="177"/>
      <c r="W32" s="177"/>
      <c r="X32" s="177"/>
      <c r="Y32" s="177"/>
      <c r="Z32" s="177"/>
      <c r="AA32" s="177"/>
      <c r="AB32" s="177"/>
      <c r="AC32" s="177"/>
    </row>
    <row r="33">
      <c r="A33" s="177"/>
      <c r="B33" s="423" t="s">
        <v>1468</v>
      </c>
      <c r="C33" s="424">
        <f t="shared" ref="C33:D33" si="2">SUM(C21:C32)</f>
        <v>1678701.72</v>
      </c>
      <c r="D33" s="424">
        <f t="shared" si="2"/>
        <v>2882000</v>
      </c>
      <c r="E33" s="425"/>
      <c r="F33" s="425"/>
      <c r="G33" s="425"/>
      <c r="H33" s="425"/>
      <c r="I33" s="425"/>
      <c r="J33" s="425"/>
      <c r="K33" s="425"/>
      <c r="L33" s="177"/>
      <c r="M33" s="177"/>
      <c r="N33" s="177"/>
      <c r="O33" s="177"/>
      <c r="P33" s="177"/>
      <c r="Q33" s="177"/>
      <c r="R33" s="177"/>
      <c r="S33" s="177"/>
      <c r="T33" s="177"/>
      <c r="U33" s="177"/>
      <c r="V33" s="177"/>
      <c r="W33" s="177"/>
      <c r="X33" s="177"/>
      <c r="Y33" s="177"/>
      <c r="Z33" s="177"/>
      <c r="AA33" s="177"/>
      <c r="AB33" s="177"/>
      <c r="AC33" s="177"/>
    </row>
    <row r="34">
      <c r="A34" s="177"/>
      <c r="B34" s="181"/>
      <c r="C34" s="181"/>
      <c r="D34" s="181"/>
      <c r="E34" s="181"/>
      <c r="F34" s="181"/>
      <c r="G34" s="181"/>
      <c r="H34" s="181"/>
      <c r="I34" s="181"/>
      <c r="J34" s="181"/>
      <c r="K34" s="181"/>
      <c r="L34" s="177"/>
      <c r="M34" s="177"/>
      <c r="N34" s="177"/>
      <c r="O34" s="177"/>
      <c r="P34" s="177"/>
      <c r="Q34" s="177"/>
      <c r="R34" s="177"/>
      <c r="S34" s="177"/>
      <c r="T34" s="177"/>
      <c r="U34" s="177"/>
      <c r="V34" s="177"/>
      <c r="W34" s="177"/>
      <c r="X34" s="177"/>
      <c r="Y34" s="177"/>
      <c r="Z34" s="177"/>
      <c r="AA34" s="177"/>
      <c r="AB34" s="177"/>
      <c r="AC34" s="177"/>
    </row>
    <row r="35">
      <c r="A35" s="177"/>
      <c r="B35" s="181"/>
      <c r="C35" s="181"/>
      <c r="D35" s="181"/>
      <c r="E35" s="181"/>
      <c r="F35" s="181"/>
      <c r="G35" s="181"/>
      <c r="H35" s="181"/>
      <c r="I35" s="181"/>
      <c r="J35" s="181"/>
      <c r="K35" s="181"/>
      <c r="L35" s="177"/>
      <c r="M35" s="177"/>
      <c r="N35" s="177"/>
      <c r="O35" s="177"/>
      <c r="P35" s="177"/>
      <c r="Q35" s="177"/>
      <c r="R35" s="177"/>
      <c r="S35" s="177"/>
      <c r="T35" s="177"/>
      <c r="U35" s="177"/>
      <c r="V35" s="177"/>
      <c r="W35" s="177"/>
      <c r="X35" s="177"/>
      <c r="Y35" s="177"/>
      <c r="Z35" s="177"/>
      <c r="AA35" s="177"/>
      <c r="AB35" s="177"/>
      <c r="AC35" s="177"/>
    </row>
    <row r="36">
      <c r="A36" s="177"/>
      <c r="B36" s="181"/>
      <c r="C36" s="181"/>
      <c r="D36" s="181"/>
      <c r="E36" s="181"/>
      <c r="F36" s="181"/>
      <c r="G36" s="181"/>
      <c r="H36" s="181"/>
      <c r="I36" s="181"/>
      <c r="J36" s="181"/>
      <c r="K36" s="181"/>
      <c r="L36" s="177"/>
      <c r="M36" s="177"/>
      <c r="N36" s="177"/>
      <c r="O36" s="177"/>
      <c r="P36" s="177"/>
      <c r="Q36" s="177"/>
      <c r="R36" s="177"/>
      <c r="S36" s="177"/>
      <c r="T36" s="177"/>
      <c r="U36" s="177"/>
      <c r="V36" s="177"/>
      <c r="W36" s="177"/>
      <c r="X36" s="177"/>
      <c r="Y36" s="177"/>
      <c r="Z36" s="177"/>
      <c r="AA36" s="177"/>
      <c r="AB36" s="177"/>
      <c r="AC36" s="177"/>
    </row>
    <row r="37" ht="22.5" customHeight="1">
      <c r="A37" s="177"/>
      <c r="B37" s="309" t="s">
        <v>4</v>
      </c>
      <c r="C37" s="309" t="s">
        <v>1550</v>
      </c>
      <c r="D37" s="309" t="s">
        <v>1406</v>
      </c>
      <c r="E37" s="309" t="s">
        <v>1551</v>
      </c>
      <c r="F37" s="309" t="s">
        <v>1552</v>
      </c>
      <c r="G37" s="309" t="s">
        <v>1553</v>
      </c>
      <c r="H37" s="309" t="s">
        <v>1554</v>
      </c>
      <c r="I37" s="309" t="s">
        <v>1555</v>
      </c>
      <c r="J37" s="309" t="s">
        <v>1556</v>
      </c>
      <c r="K37" s="309" t="s">
        <v>1557</v>
      </c>
      <c r="L37" s="177"/>
      <c r="M37" s="177"/>
      <c r="N37" s="177"/>
      <c r="O37" s="177"/>
      <c r="P37" s="177"/>
      <c r="Q37" s="177"/>
      <c r="R37" s="177"/>
      <c r="S37" s="177"/>
      <c r="T37" s="177"/>
      <c r="U37" s="177"/>
      <c r="V37" s="177"/>
      <c r="W37" s="177"/>
      <c r="X37" s="177"/>
      <c r="Y37" s="177"/>
      <c r="Z37" s="177"/>
      <c r="AA37" s="177"/>
      <c r="AB37" s="177"/>
      <c r="AC37" s="177"/>
    </row>
    <row r="38" ht="22.5" customHeight="1">
      <c r="A38" s="177"/>
      <c r="B38" s="310" t="s">
        <v>4</v>
      </c>
      <c r="C38" s="311"/>
      <c r="D38" s="312" t="s">
        <v>1558</v>
      </c>
      <c r="E38" s="311" t="s">
        <v>1559</v>
      </c>
      <c r="F38" s="312" t="s">
        <v>1560</v>
      </c>
      <c r="G38" s="311" t="s">
        <v>1404</v>
      </c>
      <c r="H38" s="312" t="s">
        <v>1405</v>
      </c>
      <c r="I38" s="312" t="s">
        <v>1406</v>
      </c>
      <c r="J38" s="312" t="s">
        <v>1407</v>
      </c>
      <c r="K38" s="313" t="s">
        <v>326</v>
      </c>
      <c r="L38" s="177"/>
      <c r="M38" s="177"/>
      <c r="N38" s="177"/>
      <c r="O38" s="177"/>
      <c r="P38" s="177"/>
      <c r="Q38" s="177"/>
      <c r="R38" s="177"/>
      <c r="S38" s="177"/>
      <c r="T38" s="177"/>
      <c r="U38" s="177"/>
      <c r="V38" s="177"/>
      <c r="W38" s="177"/>
      <c r="X38" s="177"/>
      <c r="Y38" s="177"/>
      <c r="Z38" s="177"/>
      <c r="AA38" s="177"/>
      <c r="AB38" s="177"/>
      <c r="AC38" s="177"/>
    </row>
    <row r="39" ht="22.5" customHeight="1">
      <c r="A39" s="177"/>
      <c r="B39" s="207" t="s">
        <v>1561</v>
      </c>
      <c r="C39" s="213"/>
      <c r="D39" s="211"/>
      <c r="E39" s="213" t="s">
        <v>1562</v>
      </c>
      <c r="F39" s="210" t="s">
        <v>1999</v>
      </c>
      <c r="G39" s="211"/>
      <c r="H39" s="211"/>
      <c r="I39" s="211"/>
      <c r="J39" s="211"/>
      <c r="K39" s="211"/>
      <c r="L39" s="177"/>
      <c r="M39" s="177"/>
      <c r="N39" s="177"/>
      <c r="O39" s="177"/>
      <c r="P39" s="177"/>
      <c r="Q39" s="177"/>
      <c r="R39" s="177"/>
      <c r="S39" s="177"/>
      <c r="T39" s="177"/>
      <c r="U39" s="177"/>
      <c r="V39" s="177"/>
      <c r="W39" s="177"/>
      <c r="X39" s="177"/>
      <c r="Y39" s="177"/>
      <c r="Z39" s="177"/>
      <c r="AA39" s="177"/>
      <c r="AB39" s="177"/>
      <c r="AC39" s="177"/>
    </row>
    <row r="40" ht="22.5" customHeight="1">
      <c r="A40" s="177"/>
      <c r="B40" s="190" t="s">
        <v>1569</v>
      </c>
      <c r="C40" s="203"/>
      <c r="D40" s="203"/>
      <c r="E40" s="203"/>
      <c r="F40" s="195" t="s">
        <v>1570</v>
      </c>
      <c r="G40" s="203"/>
      <c r="H40" s="203"/>
      <c r="I40" s="203"/>
      <c r="J40" s="203"/>
      <c r="K40" s="203"/>
      <c r="L40" s="177"/>
      <c r="M40" s="177"/>
      <c r="N40" s="177"/>
      <c r="O40" s="177"/>
      <c r="P40" s="177"/>
      <c r="Q40" s="177"/>
      <c r="R40" s="177"/>
      <c r="S40" s="177"/>
      <c r="T40" s="177"/>
      <c r="U40" s="177"/>
      <c r="V40" s="177"/>
      <c r="W40" s="177"/>
      <c r="X40" s="177"/>
      <c r="Y40" s="177"/>
      <c r="Z40" s="177"/>
      <c r="AA40" s="177"/>
      <c r="AB40" s="177"/>
      <c r="AC40" s="177"/>
    </row>
    <row r="41" ht="22.5" customHeight="1">
      <c r="A41" s="177"/>
      <c r="B41" s="207" t="s">
        <v>1571</v>
      </c>
      <c r="C41" s="211"/>
      <c r="D41" s="210" t="s">
        <v>418</v>
      </c>
      <c r="E41" s="211"/>
      <c r="F41" s="211"/>
      <c r="G41" s="211"/>
      <c r="H41" s="211"/>
      <c r="I41" s="211"/>
      <c r="J41" s="211"/>
      <c r="K41" s="211"/>
      <c r="L41" s="177"/>
      <c r="M41" s="177"/>
      <c r="N41" s="177"/>
      <c r="O41" s="177"/>
      <c r="P41" s="177"/>
      <c r="Q41" s="177"/>
      <c r="R41" s="177"/>
      <c r="S41" s="177"/>
      <c r="T41" s="177"/>
      <c r="U41" s="177"/>
      <c r="V41" s="177"/>
      <c r="W41" s="177"/>
      <c r="X41" s="177"/>
      <c r="Y41" s="177"/>
      <c r="Z41" s="177"/>
      <c r="AA41" s="177"/>
      <c r="AB41" s="177"/>
      <c r="AC41" s="177"/>
    </row>
    <row r="42" ht="22.5" customHeight="1">
      <c r="A42" s="177"/>
      <c r="B42" s="190" t="s">
        <v>613</v>
      </c>
      <c r="C42" s="315"/>
      <c r="D42" s="195" t="s">
        <v>418</v>
      </c>
      <c r="E42" s="195" t="s">
        <v>1572</v>
      </c>
      <c r="F42" s="203"/>
      <c r="G42" s="203"/>
      <c r="H42" s="203"/>
      <c r="I42" s="203"/>
      <c r="J42" s="203"/>
      <c r="K42" s="203"/>
      <c r="L42" s="177"/>
      <c r="M42" s="177"/>
      <c r="N42" s="177"/>
      <c r="O42" s="177"/>
      <c r="P42" s="177"/>
      <c r="Q42" s="177"/>
      <c r="R42" s="177"/>
      <c r="S42" s="177"/>
      <c r="T42" s="177"/>
      <c r="U42" s="177"/>
      <c r="V42" s="177"/>
      <c r="W42" s="177"/>
      <c r="X42" s="177"/>
      <c r="Y42" s="177"/>
      <c r="Z42" s="177"/>
      <c r="AA42" s="177"/>
      <c r="AB42" s="177"/>
      <c r="AC42" s="177"/>
    </row>
    <row r="43" ht="22.5" customHeight="1">
      <c r="A43" s="177"/>
      <c r="B43" s="207" t="s">
        <v>525</v>
      </c>
      <c r="C43" s="207"/>
      <c r="D43" s="210" t="s">
        <v>125</v>
      </c>
      <c r="E43" s="207" t="s">
        <v>1573</v>
      </c>
      <c r="F43" s="210" t="s">
        <v>1574</v>
      </c>
      <c r="G43" s="211"/>
      <c r="H43" s="211"/>
      <c r="I43" s="211"/>
      <c r="J43" s="211"/>
      <c r="K43" s="211"/>
      <c r="L43" s="177"/>
      <c r="M43" s="177"/>
      <c r="N43" s="177"/>
      <c r="O43" s="177"/>
      <c r="P43" s="177"/>
      <c r="Q43" s="177"/>
      <c r="R43" s="177"/>
      <c r="S43" s="177"/>
      <c r="T43" s="177"/>
      <c r="U43" s="177"/>
      <c r="V43" s="177"/>
      <c r="W43" s="177"/>
      <c r="X43" s="177"/>
      <c r="Y43" s="177"/>
      <c r="Z43" s="177"/>
      <c r="AA43" s="177"/>
      <c r="AB43" s="177"/>
      <c r="AC43" s="177"/>
    </row>
    <row r="44" ht="22.5" customHeight="1">
      <c r="A44" s="177"/>
      <c r="B44" s="190" t="s">
        <v>1578</v>
      </c>
      <c r="C44" s="190"/>
      <c r="D44" s="195" t="s">
        <v>1579</v>
      </c>
      <c r="E44" s="193" t="s">
        <v>1580</v>
      </c>
      <c r="F44" s="203"/>
      <c r="G44" s="203"/>
      <c r="H44" s="203"/>
      <c r="I44" s="203"/>
      <c r="J44" s="203"/>
      <c r="K44" s="203"/>
      <c r="L44" s="177"/>
      <c r="M44" s="177"/>
      <c r="N44" s="177"/>
      <c r="O44" s="177"/>
      <c r="P44" s="177"/>
      <c r="Q44" s="177"/>
      <c r="R44" s="177"/>
      <c r="S44" s="177"/>
      <c r="T44" s="177"/>
      <c r="U44" s="177"/>
      <c r="V44" s="177"/>
      <c r="W44" s="177"/>
      <c r="X44" s="177"/>
      <c r="Y44" s="177"/>
      <c r="Z44" s="177"/>
      <c r="AA44" s="177"/>
      <c r="AB44" s="177"/>
      <c r="AC44" s="177"/>
    </row>
    <row r="45" ht="22.5" customHeight="1">
      <c r="A45" s="177"/>
      <c r="B45" s="207" t="s">
        <v>1581</v>
      </c>
      <c r="C45" s="207"/>
      <c r="D45" s="210" t="s">
        <v>367</v>
      </c>
      <c r="E45" s="207" t="s">
        <v>2000</v>
      </c>
      <c r="F45" s="211"/>
      <c r="G45" s="211"/>
      <c r="H45" s="211"/>
      <c r="I45" s="211"/>
      <c r="J45" s="211"/>
      <c r="K45" s="211"/>
      <c r="L45" s="177"/>
      <c r="M45" s="177"/>
      <c r="N45" s="177"/>
      <c r="O45" s="177"/>
      <c r="P45" s="177"/>
      <c r="Q45" s="177"/>
      <c r="R45" s="177"/>
      <c r="S45" s="177"/>
      <c r="T45" s="177"/>
      <c r="U45" s="177"/>
      <c r="V45" s="177"/>
      <c r="W45" s="177"/>
      <c r="X45" s="177"/>
      <c r="Y45" s="177"/>
      <c r="Z45" s="177"/>
      <c r="AA45" s="177"/>
      <c r="AB45" s="177"/>
      <c r="AC45" s="177"/>
    </row>
    <row r="46" ht="22.5" customHeight="1">
      <c r="A46" s="177"/>
      <c r="B46" s="190" t="s">
        <v>1583</v>
      </c>
      <c r="C46" s="190"/>
      <c r="D46" s="195" t="s">
        <v>125</v>
      </c>
      <c r="E46" s="190" t="s">
        <v>1584</v>
      </c>
      <c r="F46" s="195" t="s">
        <v>1585</v>
      </c>
      <c r="G46" s="203"/>
      <c r="H46" s="203"/>
      <c r="I46" s="203"/>
      <c r="J46" s="203"/>
      <c r="K46" s="203"/>
      <c r="L46" s="177"/>
      <c r="M46" s="177"/>
      <c r="N46" s="177"/>
      <c r="O46" s="177"/>
      <c r="P46" s="177"/>
      <c r="Q46" s="177"/>
      <c r="R46" s="177"/>
      <c r="S46" s="177"/>
      <c r="T46" s="177"/>
      <c r="U46" s="177"/>
      <c r="V46" s="177"/>
      <c r="W46" s="177"/>
      <c r="X46" s="177"/>
      <c r="Y46" s="177"/>
      <c r="Z46" s="177"/>
      <c r="AA46" s="177"/>
      <c r="AB46" s="177"/>
      <c r="AC46" s="177"/>
    </row>
    <row r="47" ht="22.5" customHeight="1">
      <c r="A47" s="177"/>
      <c r="B47" s="190" t="s">
        <v>1588</v>
      </c>
      <c r="C47" s="194"/>
      <c r="D47" s="195" t="s">
        <v>418</v>
      </c>
      <c r="E47" s="193" t="s">
        <v>1589</v>
      </c>
      <c r="F47" s="203"/>
      <c r="G47" s="203"/>
      <c r="H47" s="203"/>
      <c r="I47" s="203"/>
      <c r="J47" s="203"/>
      <c r="K47" s="203"/>
      <c r="L47" s="177"/>
      <c r="M47" s="177"/>
      <c r="N47" s="177"/>
      <c r="O47" s="177"/>
      <c r="P47" s="177"/>
      <c r="Q47" s="177"/>
      <c r="R47" s="177"/>
      <c r="S47" s="177"/>
      <c r="T47" s="177"/>
      <c r="U47" s="177"/>
      <c r="V47" s="177"/>
      <c r="W47" s="177"/>
      <c r="X47" s="177"/>
      <c r="Y47" s="177"/>
      <c r="Z47" s="177"/>
      <c r="AA47" s="177"/>
      <c r="AB47" s="177"/>
      <c r="AC47" s="177"/>
    </row>
    <row r="48" ht="22.5" customHeight="1">
      <c r="A48" s="177"/>
      <c r="B48" s="207" t="s">
        <v>1590</v>
      </c>
      <c r="C48" s="316"/>
      <c r="D48" s="210" t="s">
        <v>418</v>
      </c>
      <c r="E48" s="316"/>
      <c r="F48" s="211"/>
      <c r="G48" s="211"/>
      <c r="H48" s="211"/>
      <c r="I48" s="211"/>
      <c r="J48" s="211"/>
      <c r="K48" s="211"/>
      <c r="L48" s="177"/>
      <c r="M48" s="177"/>
      <c r="N48" s="177"/>
      <c r="O48" s="177"/>
      <c r="P48" s="177"/>
      <c r="Q48" s="177"/>
      <c r="R48" s="177"/>
      <c r="S48" s="177"/>
      <c r="T48" s="177"/>
      <c r="U48" s="177"/>
      <c r="V48" s="177"/>
      <c r="W48" s="177"/>
      <c r="X48" s="177"/>
      <c r="Y48" s="177"/>
      <c r="Z48" s="177"/>
      <c r="AA48" s="177"/>
      <c r="AB48" s="177"/>
      <c r="AC48" s="177"/>
    </row>
    <row r="49" ht="22.5" customHeight="1">
      <c r="A49" s="177"/>
      <c r="B49" s="190" t="s">
        <v>531</v>
      </c>
      <c r="C49" s="194"/>
      <c r="D49" s="195" t="s">
        <v>535</v>
      </c>
      <c r="E49" s="193" t="s">
        <v>1591</v>
      </c>
      <c r="F49" s="210" t="s">
        <v>2001</v>
      </c>
      <c r="G49" s="203"/>
      <c r="H49" s="203"/>
      <c r="I49" s="203"/>
      <c r="J49" s="203"/>
      <c r="K49" s="203"/>
      <c r="L49" s="177"/>
      <c r="M49" s="177"/>
      <c r="N49" s="177"/>
      <c r="O49" s="177"/>
      <c r="P49" s="177"/>
      <c r="Q49" s="177"/>
      <c r="R49" s="177"/>
      <c r="S49" s="177"/>
      <c r="T49" s="177"/>
      <c r="U49" s="177"/>
      <c r="V49" s="177"/>
      <c r="W49" s="177"/>
      <c r="X49" s="177"/>
      <c r="Y49" s="177"/>
      <c r="Z49" s="177"/>
      <c r="AA49" s="177"/>
      <c r="AB49" s="177"/>
      <c r="AC49" s="177"/>
    </row>
    <row r="50" ht="22.5" customHeight="1">
      <c r="A50" s="177"/>
      <c r="B50" s="207" t="s">
        <v>1594</v>
      </c>
      <c r="C50" s="316"/>
      <c r="D50" s="211"/>
      <c r="E50" s="210" t="s">
        <v>1595</v>
      </c>
      <c r="F50" s="211"/>
      <c r="G50" s="211"/>
      <c r="H50" s="211"/>
      <c r="I50" s="211"/>
      <c r="J50" s="211"/>
      <c r="K50" s="211"/>
      <c r="L50" s="177"/>
      <c r="M50" s="177"/>
      <c r="N50" s="177"/>
      <c r="O50" s="177"/>
      <c r="P50" s="177"/>
      <c r="Q50" s="177"/>
      <c r="R50" s="177"/>
      <c r="S50" s="177"/>
      <c r="T50" s="177"/>
      <c r="U50" s="177"/>
      <c r="V50" s="177"/>
      <c r="W50" s="177"/>
      <c r="X50" s="177"/>
      <c r="Y50" s="177"/>
      <c r="Z50" s="177"/>
      <c r="AA50" s="177"/>
      <c r="AB50" s="177"/>
      <c r="AC50" s="177"/>
    </row>
    <row r="51" ht="22.5" customHeight="1">
      <c r="A51" s="177"/>
      <c r="B51" s="190" t="s">
        <v>1596</v>
      </c>
      <c r="C51" s="194"/>
      <c r="D51" s="195" t="s">
        <v>1597</v>
      </c>
      <c r="E51" s="193" t="s">
        <v>1598</v>
      </c>
      <c r="F51" s="203"/>
      <c r="G51" s="203"/>
      <c r="H51" s="203"/>
      <c r="I51" s="203"/>
      <c r="J51" s="203"/>
      <c r="K51" s="203"/>
      <c r="L51" s="177"/>
      <c r="M51" s="177"/>
      <c r="N51" s="177"/>
      <c r="O51" s="177"/>
      <c r="P51" s="177"/>
      <c r="Q51" s="177"/>
      <c r="R51" s="177"/>
      <c r="S51" s="177"/>
      <c r="T51" s="177"/>
      <c r="U51" s="177"/>
      <c r="V51" s="177"/>
      <c r="W51" s="177"/>
      <c r="X51" s="177"/>
      <c r="Y51" s="177"/>
      <c r="Z51" s="177"/>
      <c r="AA51" s="177"/>
      <c r="AB51" s="177"/>
      <c r="AC51" s="177"/>
    </row>
    <row r="52" ht="22.5" customHeight="1">
      <c r="A52" s="177"/>
      <c r="B52" s="207" t="s">
        <v>1599</v>
      </c>
      <c r="C52" s="211"/>
      <c r="D52" s="211"/>
      <c r="E52" s="211"/>
      <c r="F52" s="211"/>
      <c r="G52" s="211"/>
      <c r="H52" s="211"/>
      <c r="I52" s="211"/>
      <c r="J52" s="211"/>
      <c r="K52" s="211"/>
      <c r="L52" s="177"/>
      <c r="M52" s="177"/>
      <c r="N52" s="177"/>
      <c r="O52" s="177"/>
      <c r="P52" s="177"/>
      <c r="Q52" s="177"/>
      <c r="R52" s="177"/>
      <c r="S52" s="177"/>
      <c r="T52" s="177"/>
      <c r="U52" s="177"/>
      <c r="V52" s="177"/>
      <c r="W52" s="177"/>
      <c r="X52" s="177"/>
      <c r="Y52" s="177"/>
      <c r="Z52" s="177"/>
      <c r="AA52" s="177"/>
      <c r="AB52" s="177"/>
      <c r="AC52" s="177"/>
    </row>
    <row r="53" ht="22.5" customHeight="1">
      <c r="A53" s="177"/>
      <c r="B53" s="194" t="s">
        <v>1600</v>
      </c>
      <c r="C53" s="203"/>
      <c r="D53" s="203"/>
      <c r="E53" s="203"/>
      <c r="F53" s="203"/>
      <c r="G53" s="203"/>
      <c r="H53" s="203"/>
      <c r="I53" s="203"/>
      <c r="J53" s="203"/>
      <c r="K53" s="203"/>
      <c r="L53" s="177"/>
      <c r="M53" s="177"/>
      <c r="N53" s="177"/>
      <c r="O53" s="177"/>
      <c r="P53" s="177"/>
      <c r="Q53" s="177"/>
      <c r="R53" s="177"/>
      <c r="S53" s="177"/>
      <c r="T53" s="177"/>
      <c r="U53" s="177"/>
      <c r="V53" s="177"/>
      <c r="W53" s="177"/>
      <c r="X53" s="177"/>
      <c r="Y53" s="177"/>
      <c r="Z53" s="177"/>
      <c r="AA53" s="177"/>
      <c r="AB53" s="177"/>
      <c r="AC53" s="177"/>
    </row>
    <row r="54" ht="22.5" customHeight="1">
      <c r="A54" s="177"/>
      <c r="B54" s="210" t="s">
        <v>1601</v>
      </c>
      <c r="C54" s="211"/>
      <c r="D54" s="210" t="s">
        <v>418</v>
      </c>
      <c r="E54" s="211"/>
      <c r="F54" s="211"/>
      <c r="G54" s="211"/>
      <c r="H54" s="211"/>
      <c r="I54" s="211"/>
      <c r="J54" s="211"/>
      <c r="K54" s="211"/>
      <c r="L54" s="177"/>
      <c r="M54" s="177"/>
      <c r="N54" s="177"/>
      <c r="O54" s="177"/>
      <c r="P54" s="177"/>
      <c r="Q54" s="177"/>
      <c r="R54" s="177"/>
      <c r="S54" s="177"/>
      <c r="T54" s="177"/>
      <c r="U54" s="177"/>
      <c r="V54" s="177"/>
      <c r="W54" s="177"/>
      <c r="X54" s="177"/>
      <c r="Y54" s="177"/>
      <c r="Z54" s="177"/>
      <c r="AA54" s="177"/>
      <c r="AB54" s="177"/>
      <c r="AC54" s="177"/>
    </row>
    <row r="55" ht="22.5" customHeight="1">
      <c r="A55" s="177"/>
      <c r="B55" s="195" t="s">
        <v>1602</v>
      </c>
      <c r="C55" s="203"/>
      <c r="D55" s="210" t="s">
        <v>418</v>
      </c>
      <c r="E55" s="203"/>
      <c r="F55" s="203"/>
      <c r="G55" s="203"/>
      <c r="H55" s="203"/>
      <c r="I55" s="203"/>
      <c r="J55" s="203"/>
      <c r="K55" s="203"/>
      <c r="L55" s="177"/>
      <c r="M55" s="177"/>
      <c r="N55" s="177"/>
      <c r="O55" s="177"/>
      <c r="P55" s="177"/>
      <c r="Q55" s="177"/>
      <c r="R55" s="177"/>
      <c r="S55" s="177"/>
      <c r="T55" s="177"/>
      <c r="U55" s="177"/>
      <c r="V55" s="177"/>
      <c r="W55" s="177"/>
      <c r="X55" s="177"/>
      <c r="Y55" s="177"/>
      <c r="Z55" s="177"/>
      <c r="AA55" s="177"/>
      <c r="AB55" s="177"/>
      <c r="AC55" s="177"/>
    </row>
    <row r="56" ht="22.5" customHeight="1">
      <c r="A56" s="177"/>
      <c r="B56" s="210" t="s">
        <v>1603</v>
      </c>
      <c r="C56" s="211"/>
      <c r="D56" s="210" t="s">
        <v>418</v>
      </c>
      <c r="E56" s="210" t="s">
        <v>1604</v>
      </c>
      <c r="F56" s="211"/>
      <c r="G56" s="211"/>
      <c r="H56" s="211"/>
      <c r="I56" s="211"/>
      <c r="J56" s="211"/>
      <c r="K56" s="211"/>
      <c r="L56" s="177"/>
      <c r="M56" s="177"/>
      <c r="N56" s="177"/>
      <c r="O56" s="177"/>
      <c r="P56" s="177"/>
      <c r="Q56" s="177"/>
      <c r="R56" s="177"/>
      <c r="S56" s="177"/>
      <c r="T56" s="177"/>
      <c r="U56" s="177"/>
      <c r="V56" s="177"/>
      <c r="W56" s="177"/>
      <c r="X56" s="177"/>
      <c r="Y56" s="177"/>
      <c r="Z56" s="177"/>
      <c r="AA56" s="177"/>
      <c r="AB56" s="177"/>
      <c r="AC56" s="177"/>
    </row>
    <row r="57" ht="22.5" customHeight="1">
      <c r="A57" s="177"/>
      <c r="B57" s="195" t="s">
        <v>1605</v>
      </c>
      <c r="C57" s="203"/>
      <c r="D57" s="210" t="s">
        <v>418</v>
      </c>
      <c r="E57" s="203"/>
      <c r="F57" s="203"/>
      <c r="G57" s="203"/>
      <c r="H57" s="203"/>
      <c r="I57" s="203"/>
      <c r="J57" s="203"/>
      <c r="K57" s="203"/>
      <c r="L57" s="177"/>
      <c r="M57" s="177"/>
      <c r="N57" s="177"/>
      <c r="O57" s="177"/>
      <c r="P57" s="177"/>
      <c r="Q57" s="177"/>
      <c r="R57" s="177"/>
      <c r="S57" s="177"/>
      <c r="T57" s="177"/>
      <c r="U57" s="177"/>
      <c r="V57" s="177"/>
      <c r="W57" s="177"/>
      <c r="X57" s="177"/>
      <c r="Y57" s="177"/>
      <c r="Z57" s="177"/>
      <c r="AA57" s="177"/>
      <c r="AB57" s="177"/>
      <c r="AC57" s="177"/>
    </row>
    <row r="58" ht="22.5" customHeight="1">
      <c r="A58" s="177"/>
      <c r="B58" s="210" t="s">
        <v>1606</v>
      </c>
      <c r="C58" s="211"/>
      <c r="D58" s="210" t="s">
        <v>418</v>
      </c>
      <c r="E58" s="211"/>
      <c r="F58" s="211"/>
      <c r="G58" s="211"/>
      <c r="H58" s="211"/>
      <c r="I58" s="211"/>
      <c r="J58" s="211"/>
      <c r="K58" s="211"/>
      <c r="L58" s="177"/>
      <c r="M58" s="177"/>
      <c r="N58" s="177"/>
      <c r="O58" s="177"/>
      <c r="P58" s="177"/>
      <c r="Q58" s="177"/>
      <c r="R58" s="177"/>
      <c r="S58" s="177"/>
      <c r="T58" s="177"/>
      <c r="U58" s="177"/>
      <c r="V58" s="177"/>
      <c r="W58" s="177"/>
      <c r="X58" s="177"/>
      <c r="Y58" s="177"/>
      <c r="Z58" s="177"/>
      <c r="AA58" s="177"/>
      <c r="AB58" s="177"/>
      <c r="AC58" s="177"/>
    </row>
    <row r="59" ht="22.5" customHeight="1">
      <c r="A59" s="177"/>
      <c r="B59" s="195" t="s">
        <v>1607</v>
      </c>
      <c r="C59" s="203"/>
      <c r="D59" s="210" t="s">
        <v>418</v>
      </c>
      <c r="E59" s="203"/>
      <c r="F59" s="203"/>
      <c r="G59" s="203"/>
      <c r="H59" s="203"/>
      <c r="I59" s="203"/>
      <c r="J59" s="203"/>
      <c r="K59" s="203"/>
      <c r="L59" s="177"/>
      <c r="M59" s="177"/>
      <c r="N59" s="177"/>
      <c r="O59" s="177"/>
      <c r="P59" s="177"/>
      <c r="Q59" s="177"/>
      <c r="R59" s="177"/>
      <c r="S59" s="177"/>
      <c r="T59" s="177"/>
      <c r="U59" s="177"/>
      <c r="V59" s="177"/>
      <c r="W59" s="177"/>
      <c r="X59" s="177"/>
      <c r="Y59" s="177"/>
      <c r="Z59" s="177"/>
      <c r="AA59" s="177"/>
      <c r="AB59" s="177"/>
      <c r="AC59" s="177"/>
    </row>
    <row r="60" ht="22.5" customHeight="1">
      <c r="A60" s="177"/>
      <c r="B60" s="195" t="s">
        <v>1608</v>
      </c>
      <c r="C60" s="203"/>
      <c r="D60" s="210" t="s">
        <v>418</v>
      </c>
      <c r="E60" s="203"/>
      <c r="F60" s="203"/>
      <c r="G60" s="203"/>
      <c r="H60" s="203"/>
      <c r="I60" s="203"/>
      <c r="J60" s="203"/>
      <c r="K60" s="203"/>
      <c r="L60" s="177"/>
      <c r="M60" s="177"/>
      <c r="N60" s="177"/>
      <c r="O60" s="177"/>
      <c r="P60" s="177"/>
      <c r="Q60" s="177"/>
      <c r="R60" s="177"/>
      <c r="S60" s="177"/>
      <c r="T60" s="177"/>
      <c r="U60" s="177"/>
      <c r="V60" s="177"/>
      <c r="W60" s="177"/>
      <c r="X60" s="177"/>
      <c r="Y60" s="177"/>
      <c r="Z60" s="177"/>
      <c r="AA60" s="177"/>
      <c r="AB60" s="177"/>
      <c r="AC60" s="177"/>
    </row>
    <row r="61" ht="22.5" customHeight="1">
      <c r="A61" s="177"/>
      <c r="B61" s="195" t="s">
        <v>1609</v>
      </c>
      <c r="C61" s="203"/>
      <c r="D61" s="210" t="s">
        <v>418</v>
      </c>
      <c r="E61" s="203"/>
      <c r="F61" s="203"/>
      <c r="G61" s="203"/>
      <c r="H61" s="203"/>
      <c r="I61" s="203"/>
      <c r="J61" s="203"/>
      <c r="K61" s="203"/>
      <c r="L61" s="177"/>
      <c r="M61" s="177"/>
      <c r="N61" s="177"/>
      <c r="O61" s="177"/>
      <c r="P61" s="177"/>
      <c r="Q61" s="177"/>
      <c r="R61" s="177"/>
      <c r="S61" s="177"/>
      <c r="T61" s="177"/>
      <c r="U61" s="177"/>
      <c r="V61" s="177"/>
      <c r="W61" s="177"/>
      <c r="X61" s="177"/>
      <c r="Y61" s="177"/>
      <c r="Z61" s="177"/>
      <c r="AA61" s="177"/>
      <c r="AB61" s="177"/>
      <c r="AC61" s="177"/>
    </row>
    <row r="62" ht="22.5" customHeight="1">
      <c r="A62" s="177"/>
      <c r="B62" s="195" t="s">
        <v>1610</v>
      </c>
      <c r="C62" s="203"/>
      <c r="D62" s="210"/>
      <c r="E62" s="203"/>
      <c r="F62" s="203"/>
      <c r="G62" s="203"/>
      <c r="H62" s="203"/>
      <c r="I62" s="203"/>
      <c r="J62" s="203"/>
      <c r="K62" s="203"/>
      <c r="L62" s="177"/>
      <c r="M62" s="177"/>
      <c r="N62" s="177"/>
      <c r="O62" s="177"/>
      <c r="P62" s="177"/>
      <c r="Q62" s="177"/>
      <c r="R62" s="177"/>
      <c r="S62" s="177"/>
      <c r="T62" s="177"/>
      <c r="U62" s="177"/>
      <c r="V62" s="177"/>
      <c r="W62" s="177"/>
      <c r="X62" s="177"/>
      <c r="Y62" s="177"/>
      <c r="Z62" s="177"/>
      <c r="AA62" s="177"/>
      <c r="AB62" s="177"/>
      <c r="AC62" s="177"/>
    </row>
    <row r="63" ht="22.5" customHeight="1">
      <c r="A63" s="177"/>
      <c r="B63" s="315"/>
      <c r="C63" s="203"/>
      <c r="D63" s="315"/>
      <c r="E63" s="203"/>
      <c r="F63" s="203"/>
      <c r="G63" s="203"/>
      <c r="H63" s="203"/>
      <c r="I63" s="203"/>
      <c r="J63" s="203"/>
      <c r="K63" s="203"/>
      <c r="L63" s="177"/>
      <c r="M63" s="177"/>
      <c r="N63" s="177"/>
      <c r="O63" s="177"/>
      <c r="P63" s="177"/>
      <c r="Q63" s="177"/>
      <c r="R63" s="177"/>
      <c r="S63" s="177"/>
      <c r="T63" s="177"/>
      <c r="U63" s="177"/>
      <c r="V63" s="177"/>
      <c r="W63" s="177"/>
      <c r="X63" s="177"/>
      <c r="Y63" s="177"/>
      <c r="Z63" s="177"/>
      <c r="AA63" s="177"/>
      <c r="AB63" s="177"/>
      <c r="AC63" s="177"/>
    </row>
    <row r="64" ht="22.5" customHeight="1">
      <c r="A64" s="177"/>
      <c r="B64" s="316"/>
      <c r="C64" s="211"/>
      <c r="D64" s="316"/>
      <c r="E64" s="211"/>
      <c r="F64" s="211"/>
      <c r="G64" s="211"/>
      <c r="H64" s="211"/>
      <c r="I64" s="211"/>
      <c r="J64" s="211"/>
      <c r="K64" s="211"/>
      <c r="L64" s="177"/>
      <c r="M64" s="177"/>
      <c r="N64" s="177"/>
      <c r="O64" s="177"/>
      <c r="P64" s="177"/>
      <c r="Q64" s="177"/>
      <c r="R64" s="177"/>
      <c r="S64" s="177"/>
      <c r="T64" s="177"/>
      <c r="U64" s="177"/>
      <c r="V64" s="177"/>
      <c r="W64" s="177"/>
      <c r="X64" s="177"/>
      <c r="Y64" s="177"/>
      <c r="Z64" s="177"/>
      <c r="AA64" s="177"/>
      <c r="AB64" s="177"/>
      <c r="AC64" s="177"/>
    </row>
    <row r="65" ht="22.5" customHeight="1">
      <c r="A65" s="177"/>
      <c r="B65" s="315"/>
      <c r="C65" s="203"/>
      <c r="D65" s="315"/>
      <c r="E65" s="203"/>
      <c r="F65" s="203"/>
      <c r="G65" s="203"/>
      <c r="H65" s="203"/>
      <c r="I65" s="203"/>
      <c r="J65" s="203"/>
      <c r="K65" s="203"/>
      <c r="L65" s="177"/>
      <c r="M65" s="177"/>
      <c r="N65" s="177"/>
      <c r="O65" s="177"/>
      <c r="P65" s="177"/>
      <c r="Q65" s="177"/>
      <c r="R65" s="177"/>
      <c r="S65" s="177"/>
      <c r="T65" s="177"/>
      <c r="U65" s="177"/>
      <c r="V65" s="177"/>
      <c r="W65" s="177"/>
      <c r="X65" s="177"/>
      <c r="Y65" s="177"/>
      <c r="Z65" s="177"/>
      <c r="AA65" s="177"/>
      <c r="AB65" s="177"/>
      <c r="AC65" s="177"/>
    </row>
    <row r="66" ht="22.5" customHeight="1">
      <c r="A66" s="177"/>
      <c r="B66" s="316"/>
      <c r="C66" s="211"/>
      <c r="D66" s="316"/>
      <c r="E66" s="211"/>
      <c r="F66" s="211"/>
      <c r="G66" s="211"/>
      <c r="H66" s="211"/>
      <c r="I66" s="211"/>
      <c r="J66" s="211"/>
      <c r="K66" s="211"/>
      <c r="L66" s="177"/>
      <c r="M66" s="177"/>
      <c r="N66" s="177"/>
      <c r="O66" s="177"/>
      <c r="P66" s="177"/>
      <c r="Q66" s="177"/>
      <c r="R66" s="177"/>
      <c r="S66" s="177"/>
      <c r="T66" s="177"/>
      <c r="U66" s="177"/>
      <c r="V66" s="177"/>
      <c r="W66" s="177"/>
      <c r="X66" s="177"/>
      <c r="Y66" s="177"/>
      <c r="Z66" s="177"/>
      <c r="AA66" s="177"/>
      <c r="AB66" s="177"/>
      <c r="AC66" s="177"/>
    </row>
    <row r="67">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c r="AB67" s="177"/>
      <c r="AC67" s="177"/>
    </row>
    <row r="68">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row>
    <row r="69">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c r="AB69" s="177"/>
      <c r="AC69" s="177"/>
    </row>
    <row r="70">
      <c r="A70" s="177"/>
      <c r="B70" s="178" t="s">
        <v>105</v>
      </c>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c r="AA70" s="177"/>
      <c r="AB70" s="177"/>
      <c r="AC70" s="177"/>
    </row>
    <row r="71">
      <c r="A71" s="177"/>
      <c r="B71" s="178" t="s">
        <v>1611</v>
      </c>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c r="AA71" s="177"/>
      <c r="AB71" s="177"/>
      <c r="AC71" s="177"/>
    </row>
    <row r="72">
      <c r="A72" s="177"/>
      <c r="B72" s="178" t="s">
        <v>1612</v>
      </c>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c r="AA72" s="177"/>
      <c r="AB72" s="177"/>
      <c r="AC72" s="177"/>
    </row>
    <row r="73">
      <c r="A73" s="177"/>
      <c r="B73" s="178" t="s">
        <v>1613</v>
      </c>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c r="AA73" s="177"/>
      <c r="AB73" s="177"/>
      <c r="AC73" s="177"/>
    </row>
    <row r="74">
      <c r="A74" s="177"/>
      <c r="B74" s="178" t="s">
        <v>1614</v>
      </c>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c r="AA74" s="177"/>
      <c r="AB74" s="177"/>
      <c r="AC74" s="177"/>
    </row>
    <row r="75">
      <c r="A75" s="177"/>
      <c r="B75" s="178" t="s">
        <v>1615</v>
      </c>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c r="AA75" s="177"/>
      <c r="AB75" s="177"/>
      <c r="AC75" s="177"/>
    </row>
    <row r="76">
      <c r="A76" s="177"/>
      <c r="B76" s="178" t="s">
        <v>1616</v>
      </c>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row>
    <row r="77">
      <c r="A77" s="177"/>
      <c r="B77" s="178" t="s">
        <v>1617</v>
      </c>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c r="AA77" s="177"/>
      <c r="AB77" s="177"/>
      <c r="AC77" s="177"/>
    </row>
    <row r="78">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c r="AA78" s="177"/>
      <c r="AB78" s="177"/>
      <c r="AC78" s="177"/>
    </row>
    <row r="79">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row>
    <row r="80">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c r="AB80" s="177"/>
      <c r="AC80" s="177"/>
    </row>
    <row r="81">
      <c r="A81" s="177"/>
      <c r="B81" s="178"/>
      <c r="C81" s="178"/>
      <c r="D81" s="178"/>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row>
    <row r="82">
      <c r="A82" s="177"/>
      <c r="B82" s="178"/>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row>
    <row r="83">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c r="AA83" s="177"/>
      <c r="AB83" s="177"/>
      <c r="AC83" s="177"/>
    </row>
    <row r="84">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c r="AA84" s="177"/>
      <c r="AB84" s="177"/>
      <c r="AC84" s="177"/>
    </row>
    <row r="85">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c r="AB85" s="177"/>
      <c r="AC85" s="177"/>
    </row>
    <row r="86">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c r="AB86" s="177"/>
      <c r="AC86" s="177"/>
    </row>
    <row r="87">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row>
    <row r="88">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row>
    <row r="89">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c r="AB89" s="177"/>
      <c r="AC89" s="177"/>
    </row>
    <row r="90">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c r="AB90" s="177"/>
      <c r="AC90" s="177"/>
    </row>
    <row r="91">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row>
    <row r="92">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row>
    <row r="93">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c r="AB93" s="177"/>
      <c r="AC93" s="177"/>
    </row>
    <row r="94">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row>
    <row r="95">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row>
    <row r="96">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row>
    <row r="97">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c r="AB97" s="177"/>
      <c r="AC97" s="177"/>
    </row>
    <row r="98">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c r="AB98" s="177"/>
      <c r="AC98" s="177"/>
    </row>
    <row r="99">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row>
    <row r="100">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c r="AB100" s="177"/>
      <c r="AC100" s="177"/>
    </row>
    <row r="101">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c r="AA101" s="177"/>
      <c r="AB101" s="177"/>
      <c r="AC101" s="177"/>
    </row>
    <row r="102">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row>
    <row r="103">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row>
    <row r="104">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row>
    <row r="105">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c r="AB105" s="177"/>
      <c r="AC105" s="177"/>
    </row>
    <row r="106">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c r="AA106" s="177"/>
      <c r="AB106" s="177"/>
      <c r="AC106" s="177"/>
    </row>
    <row r="107">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row>
    <row r="108">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c r="AA108" s="177"/>
      <c r="AB108" s="177"/>
      <c r="AC108" s="177"/>
    </row>
    <row r="109">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c r="AA109" s="177"/>
      <c r="AB109" s="177"/>
      <c r="AC109" s="177"/>
    </row>
    <row r="110">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c r="AA110" s="177"/>
      <c r="AB110" s="177"/>
      <c r="AC110" s="177"/>
    </row>
    <row r="111">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c r="AA111" s="177"/>
      <c r="AB111" s="177"/>
      <c r="AC111" s="177"/>
    </row>
    <row r="112">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row>
    <row r="113">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c r="AA113" s="177"/>
      <c r="AB113" s="177"/>
      <c r="AC113" s="177"/>
    </row>
    <row r="114">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c r="AA114" s="177"/>
      <c r="AB114" s="177"/>
      <c r="AC114" s="177"/>
    </row>
    <row r="115">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c r="AA115" s="177"/>
      <c r="AB115" s="177"/>
      <c r="AC115" s="177"/>
    </row>
    <row r="116">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row>
    <row r="117">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c r="AA117" s="177"/>
      <c r="AB117" s="177"/>
      <c r="AC117" s="177"/>
    </row>
    <row r="118">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row>
    <row r="119">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c r="AA119" s="177"/>
      <c r="AB119" s="177"/>
      <c r="AC119" s="177"/>
    </row>
    <row r="120">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row>
    <row r="121">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c r="AA121" s="177"/>
      <c r="AB121" s="177"/>
      <c r="AC121" s="177"/>
    </row>
    <row r="122">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177"/>
      <c r="AB122" s="177"/>
      <c r="AC122" s="177"/>
    </row>
    <row r="123">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c r="AA123" s="177"/>
      <c r="AB123" s="177"/>
      <c r="AC123" s="177"/>
    </row>
    <row r="124">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row>
    <row r="125">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c r="AA125" s="177"/>
      <c r="AB125" s="177"/>
      <c r="AC125" s="177"/>
    </row>
    <row r="126">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177"/>
      <c r="AB126" s="177"/>
      <c r="AC126" s="177"/>
    </row>
    <row r="127">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c r="AA127" s="177"/>
      <c r="AB127" s="177"/>
      <c r="AC127" s="177"/>
    </row>
    <row r="128">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row>
    <row r="129">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c r="AA129" s="177"/>
      <c r="AB129" s="177"/>
      <c r="AC129" s="177"/>
    </row>
    <row r="130">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177"/>
      <c r="AB130" s="177"/>
      <c r="AC130" s="177"/>
    </row>
    <row r="131">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c r="AA131" s="177"/>
      <c r="AB131" s="177"/>
      <c r="AC131" s="177"/>
    </row>
    <row r="132">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177"/>
      <c r="AB132" s="177"/>
      <c r="AC132" s="177"/>
    </row>
    <row r="133">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c r="AA133" s="177"/>
      <c r="AB133" s="177"/>
      <c r="AC133" s="177"/>
    </row>
    <row r="134">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177"/>
      <c r="AB134" s="177"/>
      <c r="AC134" s="177"/>
    </row>
    <row r="135">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c r="AA135" s="177"/>
      <c r="AB135" s="177"/>
      <c r="AC135" s="177"/>
    </row>
    <row r="136">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177"/>
      <c r="AB136" s="177"/>
      <c r="AC136" s="177"/>
    </row>
    <row r="137">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c r="AA137" s="177"/>
      <c r="AB137" s="177"/>
      <c r="AC137" s="177"/>
    </row>
    <row r="138">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177"/>
      <c r="AB138" s="177"/>
      <c r="AC138" s="177"/>
    </row>
    <row r="139">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c r="AA139" s="177"/>
      <c r="AB139" s="177"/>
      <c r="AC139" s="177"/>
    </row>
    <row r="140">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177"/>
      <c r="AB140" s="177"/>
      <c r="AC140" s="177"/>
    </row>
    <row r="141">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c r="AA141" s="177"/>
      <c r="AB141" s="177"/>
      <c r="AC141" s="177"/>
    </row>
    <row r="142">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177"/>
      <c r="AB142" s="177"/>
      <c r="AC142" s="177"/>
    </row>
    <row r="143">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c r="AA143" s="177"/>
      <c r="AB143" s="177"/>
      <c r="AC143" s="177"/>
    </row>
    <row r="144">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177"/>
      <c r="AB144" s="177"/>
      <c r="AC144" s="177"/>
    </row>
    <row r="145">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c r="AA145" s="177"/>
      <c r="AB145" s="177"/>
      <c r="AC145" s="177"/>
    </row>
    <row r="146">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row>
    <row r="147">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c r="AA147" s="177"/>
      <c r="AB147" s="177"/>
      <c r="AC147" s="177"/>
    </row>
    <row r="148">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row>
    <row r="149">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c r="AA149" s="177"/>
      <c r="AB149" s="177"/>
      <c r="AC149" s="177"/>
    </row>
    <row r="150">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177"/>
      <c r="AB150" s="177"/>
      <c r="AC150" s="177"/>
    </row>
    <row r="151">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c r="AA151" s="177"/>
      <c r="AB151" s="177"/>
      <c r="AC151" s="177"/>
    </row>
    <row r="152">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177"/>
      <c r="AB152" s="177"/>
      <c r="AC152" s="177"/>
    </row>
    <row r="153">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c r="AA153" s="177"/>
      <c r="AB153" s="177"/>
      <c r="AC153" s="177"/>
    </row>
    <row r="154">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177"/>
      <c r="AB154" s="177"/>
      <c r="AC154" s="177"/>
    </row>
    <row r="155">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c r="AA155" s="177"/>
      <c r="AB155" s="177"/>
      <c r="AC155" s="177"/>
    </row>
    <row r="156">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177"/>
      <c r="AB156" s="177"/>
      <c r="AC156" s="177"/>
    </row>
    <row r="157">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c r="AA157" s="177"/>
      <c r="AB157" s="177"/>
      <c r="AC157" s="177"/>
    </row>
    <row r="158">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177"/>
      <c r="AB158" s="177"/>
      <c r="AC158" s="177"/>
    </row>
    <row r="159">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c r="AA159" s="177"/>
      <c r="AB159" s="177"/>
      <c r="AC159" s="177"/>
    </row>
    <row r="160">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177"/>
      <c r="AB160" s="177"/>
      <c r="AC160" s="177"/>
    </row>
    <row r="161">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c r="AA161" s="177"/>
      <c r="AB161" s="177"/>
      <c r="AC161" s="177"/>
    </row>
    <row r="162">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177"/>
      <c r="AB162" s="177"/>
      <c r="AC162" s="177"/>
    </row>
    <row r="163">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c r="AA163" s="177"/>
      <c r="AB163" s="177"/>
      <c r="AC163" s="177"/>
    </row>
    <row r="164">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177"/>
      <c r="AB164" s="177"/>
      <c r="AC164" s="177"/>
    </row>
    <row r="165">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c r="AA165" s="177"/>
      <c r="AB165" s="177"/>
      <c r="AC165" s="177"/>
    </row>
    <row r="166">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177"/>
      <c r="AB166" s="177"/>
      <c r="AC166" s="177"/>
    </row>
    <row r="167">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c r="AA167" s="177"/>
      <c r="AB167" s="177"/>
      <c r="AC167" s="177"/>
    </row>
    <row r="168">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177"/>
      <c r="AB168" s="177"/>
      <c r="AC168" s="177"/>
    </row>
    <row r="169">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c r="AA169" s="177"/>
      <c r="AB169" s="177"/>
      <c r="AC169" s="177"/>
    </row>
    <row r="170">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177"/>
      <c r="AB170" s="177"/>
      <c r="AC170" s="177"/>
    </row>
    <row r="171">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c r="AA171" s="177"/>
      <c r="AB171" s="177"/>
      <c r="AC171" s="177"/>
    </row>
    <row r="172">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177"/>
      <c r="AB172" s="177"/>
      <c r="AC172" s="177"/>
    </row>
    <row r="173">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c r="AA173" s="177"/>
      <c r="AB173" s="177"/>
      <c r="AC173" s="177"/>
    </row>
    <row r="174">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177"/>
      <c r="AB174" s="177"/>
      <c r="AC174" s="177"/>
    </row>
    <row r="175">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c r="AA175" s="177"/>
      <c r="AB175" s="177"/>
      <c r="AC175" s="177"/>
    </row>
    <row r="176">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177"/>
      <c r="AB176" s="177"/>
      <c r="AC176" s="177"/>
    </row>
    <row r="177">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c r="AA177" s="177"/>
      <c r="AB177" s="177"/>
      <c r="AC177" s="177"/>
    </row>
    <row r="178">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177"/>
      <c r="AB178" s="177"/>
      <c r="AC178" s="177"/>
    </row>
    <row r="179">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c r="AA179" s="177"/>
      <c r="AB179" s="177"/>
      <c r="AC179" s="177"/>
    </row>
    <row r="180">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177"/>
      <c r="AB180" s="177"/>
      <c r="AC180" s="177"/>
    </row>
    <row r="181">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c r="AA181" s="177"/>
      <c r="AB181" s="177"/>
      <c r="AC181" s="177"/>
    </row>
    <row r="182">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177"/>
      <c r="AB182" s="177"/>
      <c r="AC182" s="177"/>
    </row>
    <row r="183">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c r="AA183" s="177"/>
      <c r="AB183" s="177"/>
      <c r="AC183" s="177"/>
    </row>
    <row r="184">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177"/>
      <c r="AB184" s="177"/>
      <c r="AC184" s="177"/>
    </row>
    <row r="185">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c r="AA185" s="177"/>
      <c r="AB185" s="177"/>
      <c r="AC185" s="177"/>
    </row>
    <row r="186">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177"/>
      <c r="AB186" s="177"/>
      <c r="AC186" s="177"/>
    </row>
    <row r="187">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c r="AA187" s="177"/>
      <c r="AB187" s="177"/>
      <c r="AC187" s="177"/>
    </row>
    <row r="188">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177"/>
      <c r="AB188" s="177"/>
      <c r="AC188" s="177"/>
    </row>
    <row r="189">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c r="AA189" s="177"/>
      <c r="AB189" s="177"/>
      <c r="AC189" s="177"/>
    </row>
    <row r="190">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177"/>
      <c r="AB190" s="177"/>
      <c r="AC190" s="177"/>
    </row>
    <row r="191">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c r="AA191" s="177"/>
      <c r="AB191" s="177"/>
      <c r="AC191" s="177"/>
    </row>
    <row r="192">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177"/>
      <c r="AB192" s="177"/>
      <c r="AC192" s="177"/>
    </row>
    <row r="193">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c r="AA193" s="177"/>
      <c r="AB193" s="177"/>
      <c r="AC193" s="177"/>
    </row>
    <row r="194">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177"/>
      <c r="AB194" s="177"/>
      <c r="AC194" s="177"/>
    </row>
    <row r="195">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c r="AA195" s="177"/>
      <c r="AB195" s="177"/>
      <c r="AC195" s="177"/>
    </row>
    <row r="196">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177"/>
      <c r="AB196" s="177"/>
      <c r="AC196" s="177"/>
    </row>
    <row r="197">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c r="AA197" s="177"/>
      <c r="AB197" s="177"/>
      <c r="AC197" s="177"/>
    </row>
    <row r="198">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177"/>
      <c r="AB198" s="177"/>
      <c r="AC198" s="177"/>
    </row>
    <row r="199">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c r="AA199" s="177"/>
      <c r="AB199" s="177"/>
      <c r="AC199" s="177"/>
    </row>
    <row r="200">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c r="AA200" s="177"/>
      <c r="AB200" s="177"/>
      <c r="AC200" s="177"/>
    </row>
    <row r="201">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c r="AA201" s="177"/>
      <c r="AB201" s="177"/>
      <c r="AC201" s="177"/>
    </row>
    <row r="202">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c r="AA202" s="177"/>
      <c r="AB202" s="177"/>
      <c r="AC202" s="177"/>
    </row>
    <row r="203">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c r="AA203" s="177"/>
      <c r="AB203" s="177"/>
      <c r="AC203" s="177"/>
    </row>
    <row r="204">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c r="AA204" s="177"/>
      <c r="AB204" s="177"/>
      <c r="AC204" s="177"/>
    </row>
    <row r="205">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c r="AA205" s="177"/>
      <c r="AB205" s="177"/>
      <c r="AC205" s="177"/>
    </row>
    <row r="206">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c r="AA206" s="177"/>
      <c r="AB206" s="177"/>
      <c r="AC206" s="177"/>
    </row>
    <row r="207">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c r="AA207" s="177"/>
      <c r="AB207" s="177"/>
      <c r="AC207" s="177"/>
    </row>
    <row r="208">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c r="AA208" s="177"/>
      <c r="AB208" s="177"/>
      <c r="AC208" s="177"/>
    </row>
    <row r="209">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c r="AA209" s="177"/>
      <c r="AB209" s="177"/>
      <c r="AC209" s="177"/>
    </row>
    <row r="210">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c r="AA210" s="177"/>
      <c r="AB210" s="177"/>
      <c r="AC210" s="177"/>
    </row>
    <row r="211">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c r="AA211" s="177"/>
      <c r="AB211" s="177"/>
      <c r="AC211" s="177"/>
    </row>
    <row r="212">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row>
    <row r="213">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row>
    <row r="214">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row>
    <row r="215">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c r="AA215" s="177"/>
      <c r="AB215" s="177"/>
      <c r="AC215" s="177"/>
    </row>
    <row r="216">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c r="AA216" s="177"/>
      <c r="AB216" s="177"/>
      <c r="AC216" s="177"/>
    </row>
    <row r="217">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c r="AA217" s="177"/>
      <c r="AB217" s="177"/>
      <c r="AC217" s="177"/>
    </row>
    <row r="218">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row>
    <row r="219">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row>
    <row r="220">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row>
    <row r="221">
      <c r="A221" s="177"/>
      <c r="B221" s="177"/>
      <c r="C221" s="177"/>
      <c r="D221" s="177"/>
      <c r="E221" s="177"/>
      <c r="F221" s="177"/>
      <c r="G221" s="177"/>
      <c r="H221" s="177"/>
      <c r="I221" s="177"/>
      <c r="J221" s="177"/>
      <c r="K221" s="177"/>
      <c r="L221" s="177"/>
      <c r="M221" s="177"/>
      <c r="N221" s="177"/>
      <c r="O221" s="177"/>
      <c r="P221" s="177"/>
      <c r="Q221" s="177"/>
      <c r="R221" s="177"/>
      <c r="S221" s="177"/>
      <c r="T221" s="177"/>
      <c r="U221" s="177"/>
      <c r="V221" s="177"/>
      <c r="W221" s="177"/>
      <c r="X221" s="177"/>
      <c r="Y221" s="177"/>
      <c r="Z221" s="177"/>
      <c r="AA221" s="177"/>
      <c r="AB221" s="177"/>
      <c r="AC221" s="177"/>
    </row>
    <row r="222">
      <c r="A222" s="177"/>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row>
    <row r="223">
      <c r="A223" s="177"/>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row>
    <row r="224">
      <c r="A224" s="177"/>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row>
    <row r="225">
      <c r="A225" s="177"/>
      <c r="B225" s="177"/>
      <c r="C225" s="177"/>
      <c r="D225" s="177"/>
      <c r="E225" s="177"/>
      <c r="F225" s="177"/>
      <c r="G225" s="177"/>
      <c r="H225" s="177"/>
      <c r="I225" s="177"/>
      <c r="J225" s="177"/>
      <c r="K225" s="177"/>
      <c r="L225" s="177"/>
      <c r="M225" s="177"/>
      <c r="N225" s="177"/>
      <c r="O225" s="177"/>
      <c r="P225" s="177"/>
      <c r="Q225" s="177"/>
      <c r="R225" s="177"/>
      <c r="S225" s="177"/>
      <c r="T225" s="177"/>
      <c r="U225" s="177"/>
      <c r="V225" s="177"/>
      <c r="W225" s="177"/>
      <c r="X225" s="177"/>
      <c r="Y225" s="177"/>
      <c r="Z225" s="177"/>
      <c r="AA225" s="177"/>
      <c r="AB225" s="177"/>
      <c r="AC225" s="177"/>
    </row>
    <row r="226">
      <c r="A226" s="177"/>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row>
    <row r="227">
      <c r="A227" s="177"/>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row>
    <row r="228">
      <c r="A228" s="177"/>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row>
    <row r="229">
      <c r="A229" s="177"/>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row>
    <row r="230">
      <c r="A230" s="177"/>
      <c r="B230" s="177"/>
      <c r="C230" s="177"/>
      <c r="D230" s="177"/>
      <c r="E230" s="177"/>
      <c r="F230" s="177"/>
      <c r="G230" s="177"/>
      <c r="H230" s="177"/>
      <c r="I230" s="177"/>
      <c r="J230" s="177"/>
      <c r="K230" s="177"/>
      <c r="L230" s="177"/>
      <c r="M230" s="177"/>
      <c r="N230" s="177"/>
      <c r="O230" s="177"/>
      <c r="P230" s="177"/>
      <c r="Q230" s="177"/>
      <c r="R230" s="177"/>
      <c r="S230" s="177"/>
      <c r="T230" s="177"/>
      <c r="U230" s="177"/>
      <c r="V230" s="177"/>
      <c r="W230" s="177"/>
      <c r="X230" s="177"/>
      <c r="Y230" s="177"/>
      <c r="Z230" s="177"/>
      <c r="AA230" s="177"/>
      <c r="AB230" s="177"/>
      <c r="AC230" s="177"/>
    </row>
    <row r="231">
      <c r="A231" s="177"/>
      <c r="B231" s="177"/>
      <c r="C231" s="177"/>
      <c r="D231" s="177"/>
      <c r="E231" s="177"/>
      <c r="F231" s="177"/>
      <c r="G231" s="177"/>
      <c r="H231" s="177"/>
      <c r="I231" s="177"/>
      <c r="J231" s="177"/>
      <c r="K231" s="177"/>
      <c r="L231" s="177"/>
      <c r="M231" s="177"/>
      <c r="N231" s="177"/>
      <c r="O231" s="177"/>
      <c r="P231" s="177"/>
      <c r="Q231" s="177"/>
      <c r="R231" s="177"/>
      <c r="S231" s="177"/>
      <c r="T231" s="177"/>
      <c r="U231" s="177"/>
      <c r="V231" s="177"/>
      <c r="W231" s="177"/>
      <c r="X231" s="177"/>
      <c r="Y231" s="177"/>
      <c r="Z231" s="177"/>
      <c r="AA231" s="177"/>
      <c r="AB231" s="177"/>
      <c r="AC231" s="177"/>
    </row>
    <row r="232">
      <c r="A232" s="177"/>
      <c r="B232" s="177"/>
      <c r="C232" s="177"/>
      <c r="D232" s="177"/>
      <c r="E232" s="177"/>
      <c r="F232" s="177"/>
      <c r="G232" s="177"/>
      <c r="H232" s="177"/>
      <c r="I232" s="177"/>
      <c r="J232" s="177"/>
      <c r="K232" s="177"/>
      <c r="L232" s="177"/>
      <c r="M232" s="177"/>
      <c r="N232" s="177"/>
      <c r="O232" s="177"/>
      <c r="P232" s="177"/>
      <c r="Q232" s="177"/>
      <c r="R232" s="177"/>
      <c r="S232" s="177"/>
      <c r="T232" s="177"/>
      <c r="U232" s="177"/>
      <c r="V232" s="177"/>
      <c r="W232" s="177"/>
      <c r="X232" s="177"/>
      <c r="Y232" s="177"/>
      <c r="Z232" s="177"/>
      <c r="AA232" s="177"/>
      <c r="AB232" s="177"/>
      <c r="AC232" s="177"/>
    </row>
    <row r="233">
      <c r="A233" s="177"/>
      <c r="B233" s="177"/>
      <c r="C233" s="177"/>
      <c r="D233" s="177"/>
      <c r="E233" s="177"/>
      <c r="F233" s="177"/>
      <c r="G233" s="177"/>
      <c r="H233" s="177"/>
      <c r="I233" s="177"/>
      <c r="J233" s="177"/>
      <c r="K233" s="177"/>
      <c r="L233" s="177"/>
      <c r="M233" s="177"/>
      <c r="N233" s="177"/>
      <c r="O233" s="177"/>
      <c r="P233" s="177"/>
      <c r="Q233" s="177"/>
      <c r="R233" s="177"/>
      <c r="S233" s="177"/>
      <c r="T233" s="177"/>
      <c r="U233" s="177"/>
      <c r="V233" s="177"/>
      <c r="W233" s="177"/>
      <c r="X233" s="177"/>
      <c r="Y233" s="177"/>
      <c r="Z233" s="177"/>
      <c r="AA233" s="177"/>
      <c r="AB233" s="177"/>
      <c r="AC233" s="177"/>
    </row>
    <row r="234">
      <c r="A234" s="177"/>
      <c r="B234" s="177"/>
      <c r="C234" s="177"/>
      <c r="D234" s="177"/>
      <c r="E234" s="177"/>
      <c r="F234" s="177"/>
      <c r="G234" s="177"/>
      <c r="H234" s="177"/>
      <c r="I234" s="177"/>
      <c r="J234" s="177"/>
      <c r="K234" s="177"/>
      <c r="L234" s="177"/>
      <c r="M234" s="177"/>
      <c r="N234" s="177"/>
      <c r="O234" s="177"/>
      <c r="P234" s="177"/>
      <c r="Q234" s="177"/>
      <c r="R234" s="177"/>
      <c r="S234" s="177"/>
      <c r="T234" s="177"/>
      <c r="U234" s="177"/>
      <c r="V234" s="177"/>
      <c r="W234" s="177"/>
      <c r="X234" s="177"/>
      <c r="Y234" s="177"/>
      <c r="Z234" s="177"/>
      <c r="AA234" s="177"/>
      <c r="AB234" s="177"/>
      <c r="AC234" s="177"/>
    </row>
    <row r="235">
      <c r="A235" s="177"/>
      <c r="B235" s="177"/>
      <c r="C235" s="177"/>
      <c r="D235" s="177"/>
      <c r="E235" s="177"/>
      <c r="F235" s="177"/>
      <c r="G235" s="177"/>
      <c r="H235" s="177"/>
      <c r="I235" s="177"/>
      <c r="J235" s="177"/>
      <c r="K235" s="177"/>
      <c r="L235" s="177"/>
      <c r="M235" s="177"/>
      <c r="N235" s="177"/>
      <c r="O235" s="177"/>
      <c r="P235" s="177"/>
      <c r="Q235" s="177"/>
      <c r="R235" s="177"/>
      <c r="S235" s="177"/>
      <c r="T235" s="177"/>
      <c r="U235" s="177"/>
      <c r="V235" s="177"/>
      <c r="W235" s="177"/>
      <c r="X235" s="177"/>
      <c r="Y235" s="177"/>
      <c r="Z235" s="177"/>
      <c r="AA235" s="177"/>
      <c r="AB235" s="177"/>
      <c r="AC235" s="177"/>
    </row>
    <row r="236">
      <c r="A236" s="177"/>
      <c r="B236" s="177"/>
      <c r="C236" s="177"/>
      <c r="D236" s="177"/>
      <c r="E236" s="177"/>
      <c r="F236" s="177"/>
      <c r="G236" s="177"/>
      <c r="H236" s="177"/>
      <c r="I236" s="177"/>
      <c r="J236" s="177"/>
      <c r="K236" s="177"/>
      <c r="L236" s="177"/>
      <c r="M236" s="177"/>
      <c r="N236" s="177"/>
      <c r="O236" s="177"/>
      <c r="P236" s="177"/>
      <c r="Q236" s="177"/>
      <c r="R236" s="177"/>
      <c r="S236" s="177"/>
      <c r="T236" s="177"/>
      <c r="U236" s="177"/>
      <c r="V236" s="177"/>
      <c r="W236" s="177"/>
      <c r="X236" s="177"/>
      <c r="Y236" s="177"/>
      <c r="Z236" s="177"/>
      <c r="AA236" s="177"/>
      <c r="AB236" s="177"/>
      <c r="AC236" s="177"/>
    </row>
    <row r="237">
      <c r="A237" s="177"/>
      <c r="B237" s="177"/>
      <c r="C237" s="177"/>
      <c r="D237" s="177"/>
      <c r="E237" s="177"/>
      <c r="F237" s="177"/>
      <c r="G237" s="177"/>
      <c r="H237" s="177"/>
      <c r="I237" s="177"/>
      <c r="J237" s="177"/>
      <c r="K237" s="177"/>
      <c r="L237" s="177"/>
      <c r="M237" s="177"/>
      <c r="N237" s="177"/>
      <c r="O237" s="177"/>
      <c r="P237" s="177"/>
      <c r="Q237" s="177"/>
      <c r="R237" s="177"/>
      <c r="S237" s="177"/>
      <c r="T237" s="177"/>
      <c r="U237" s="177"/>
      <c r="V237" s="177"/>
      <c r="W237" s="177"/>
      <c r="X237" s="177"/>
      <c r="Y237" s="177"/>
      <c r="Z237" s="177"/>
      <c r="AA237" s="177"/>
      <c r="AB237" s="177"/>
      <c r="AC237" s="177"/>
    </row>
    <row r="238">
      <c r="A238" s="177"/>
      <c r="B238" s="177"/>
      <c r="C238" s="177"/>
      <c r="D238" s="177"/>
      <c r="E238" s="177"/>
      <c r="F238" s="177"/>
      <c r="G238" s="177"/>
      <c r="H238" s="177"/>
      <c r="I238" s="177"/>
      <c r="J238" s="177"/>
      <c r="K238" s="177"/>
      <c r="L238" s="177"/>
      <c r="M238" s="177"/>
      <c r="N238" s="177"/>
      <c r="O238" s="177"/>
      <c r="P238" s="177"/>
      <c r="Q238" s="177"/>
      <c r="R238" s="177"/>
      <c r="S238" s="177"/>
      <c r="T238" s="177"/>
      <c r="U238" s="177"/>
      <c r="V238" s="177"/>
      <c r="W238" s="177"/>
      <c r="X238" s="177"/>
      <c r="Y238" s="177"/>
      <c r="Z238" s="177"/>
      <c r="AA238" s="177"/>
      <c r="AB238" s="177"/>
      <c r="AC238" s="177"/>
    </row>
    <row r="239">
      <c r="A239" s="177"/>
      <c r="B239" s="177"/>
      <c r="C239" s="177"/>
      <c r="D239" s="177"/>
      <c r="E239" s="177"/>
      <c r="F239" s="177"/>
      <c r="G239" s="177"/>
      <c r="H239" s="177"/>
      <c r="I239" s="177"/>
      <c r="J239" s="177"/>
      <c r="K239" s="177"/>
      <c r="L239" s="177"/>
      <c r="M239" s="177"/>
      <c r="N239" s="177"/>
      <c r="O239" s="177"/>
      <c r="P239" s="177"/>
      <c r="Q239" s="177"/>
      <c r="R239" s="177"/>
      <c r="S239" s="177"/>
      <c r="T239" s="177"/>
      <c r="U239" s="177"/>
      <c r="V239" s="177"/>
      <c r="W239" s="177"/>
      <c r="X239" s="177"/>
      <c r="Y239" s="177"/>
      <c r="Z239" s="177"/>
      <c r="AA239" s="177"/>
      <c r="AB239" s="177"/>
      <c r="AC239" s="177"/>
    </row>
    <row r="240">
      <c r="A240" s="177"/>
      <c r="B240" s="177"/>
      <c r="C240" s="177"/>
      <c r="D240" s="177"/>
      <c r="E240" s="177"/>
      <c r="F240" s="177"/>
      <c r="G240" s="177"/>
      <c r="H240" s="177"/>
      <c r="I240" s="177"/>
      <c r="J240" s="177"/>
      <c r="K240" s="177"/>
      <c r="L240" s="177"/>
      <c r="M240" s="177"/>
      <c r="N240" s="177"/>
      <c r="O240" s="177"/>
      <c r="P240" s="177"/>
      <c r="Q240" s="177"/>
      <c r="R240" s="177"/>
      <c r="S240" s="177"/>
      <c r="T240" s="177"/>
      <c r="U240" s="177"/>
      <c r="V240" s="177"/>
      <c r="W240" s="177"/>
      <c r="X240" s="177"/>
      <c r="Y240" s="177"/>
      <c r="Z240" s="177"/>
      <c r="AA240" s="177"/>
      <c r="AB240" s="177"/>
      <c r="AC240" s="177"/>
    </row>
    <row r="241">
      <c r="A241" s="177"/>
      <c r="B241" s="177"/>
      <c r="C241" s="177"/>
      <c r="D241" s="177"/>
      <c r="E241" s="177"/>
      <c r="F241" s="177"/>
      <c r="G241" s="177"/>
      <c r="H241" s="177"/>
      <c r="I241" s="177"/>
      <c r="J241" s="177"/>
      <c r="K241" s="177"/>
      <c r="L241" s="177"/>
      <c r="M241" s="177"/>
      <c r="N241" s="177"/>
      <c r="O241" s="177"/>
      <c r="P241" s="177"/>
      <c r="Q241" s="177"/>
      <c r="R241" s="177"/>
      <c r="S241" s="177"/>
      <c r="T241" s="177"/>
      <c r="U241" s="177"/>
      <c r="V241" s="177"/>
      <c r="W241" s="177"/>
      <c r="X241" s="177"/>
      <c r="Y241" s="177"/>
      <c r="Z241" s="177"/>
      <c r="AA241" s="177"/>
      <c r="AB241" s="177"/>
      <c r="AC241" s="177"/>
    </row>
    <row r="242">
      <c r="A242" s="177"/>
      <c r="B242" s="177"/>
      <c r="C242" s="177"/>
      <c r="D242" s="177"/>
      <c r="E242" s="177"/>
      <c r="F242" s="177"/>
      <c r="G242" s="177"/>
      <c r="H242" s="177"/>
      <c r="I242" s="177"/>
      <c r="J242" s="177"/>
      <c r="K242" s="177"/>
      <c r="L242" s="177"/>
      <c r="M242" s="177"/>
      <c r="N242" s="177"/>
      <c r="O242" s="177"/>
      <c r="P242" s="177"/>
      <c r="Q242" s="177"/>
      <c r="R242" s="177"/>
      <c r="S242" s="177"/>
      <c r="T242" s="177"/>
      <c r="U242" s="177"/>
      <c r="V242" s="177"/>
      <c r="W242" s="177"/>
      <c r="X242" s="177"/>
      <c r="Y242" s="177"/>
      <c r="Z242" s="177"/>
      <c r="AA242" s="177"/>
      <c r="AB242" s="177"/>
      <c r="AC242" s="177"/>
    </row>
    <row r="243">
      <c r="A243" s="177"/>
      <c r="B243" s="177"/>
      <c r="C243" s="177"/>
      <c r="D243" s="177"/>
      <c r="E243" s="177"/>
      <c r="F243" s="177"/>
      <c r="G243" s="177"/>
      <c r="H243" s="177"/>
      <c r="I243" s="177"/>
      <c r="J243" s="177"/>
      <c r="K243" s="177"/>
      <c r="L243" s="177"/>
      <c r="M243" s="177"/>
      <c r="N243" s="177"/>
      <c r="O243" s="177"/>
      <c r="P243" s="177"/>
      <c r="Q243" s="177"/>
      <c r="R243" s="177"/>
      <c r="S243" s="177"/>
      <c r="T243" s="177"/>
      <c r="U243" s="177"/>
      <c r="V243" s="177"/>
      <c r="W243" s="177"/>
      <c r="X243" s="177"/>
      <c r="Y243" s="177"/>
      <c r="Z243" s="177"/>
      <c r="AA243" s="177"/>
      <c r="AB243" s="177"/>
      <c r="AC243" s="177"/>
    </row>
    <row r="244">
      <c r="A244" s="177"/>
      <c r="B244" s="177"/>
      <c r="C244" s="177"/>
      <c r="D244" s="177"/>
      <c r="E244" s="177"/>
      <c r="F244" s="177"/>
      <c r="G244" s="177"/>
      <c r="H244" s="177"/>
      <c r="I244" s="177"/>
      <c r="J244" s="177"/>
      <c r="K244" s="177"/>
      <c r="L244" s="177"/>
      <c r="M244" s="177"/>
      <c r="N244" s="177"/>
      <c r="O244" s="177"/>
      <c r="P244" s="177"/>
      <c r="Q244" s="177"/>
      <c r="R244" s="177"/>
      <c r="S244" s="177"/>
      <c r="T244" s="177"/>
      <c r="U244" s="177"/>
      <c r="V244" s="177"/>
      <c r="W244" s="177"/>
      <c r="X244" s="177"/>
      <c r="Y244" s="177"/>
      <c r="Z244" s="177"/>
      <c r="AA244" s="177"/>
      <c r="AB244" s="177"/>
      <c r="AC244" s="177"/>
    </row>
    <row r="245">
      <c r="A245" s="177"/>
      <c r="B245" s="177"/>
      <c r="C245" s="177"/>
      <c r="D245" s="177"/>
      <c r="E245" s="177"/>
      <c r="F245" s="177"/>
      <c r="G245" s="177"/>
      <c r="H245" s="177"/>
      <c r="I245" s="177"/>
      <c r="J245" s="177"/>
      <c r="K245" s="177"/>
      <c r="L245" s="177"/>
      <c r="M245" s="177"/>
      <c r="N245" s="177"/>
      <c r="O245" s="177"/>
      <c r="P245" s="177"/>
      <c r="Q245" s="177"/>
      <c r="R245" s="177"/>
      <c r="S245" s="177"/>
      <c r="T245" s="177"/>
      <c r="U245" s="177"/>
      <c r="V245" s="177"/>
      <c r="W245" s="177"/>
      <c r="X245" s="177"/>
      <c r="Y245" s="177"/>
      <c r="Z245" s="177"/>
      <c r="AA245" s="177"/>
      <c r="AB245" s="177"/>
      <c r="AC245" s="177"/>
    </row>
    <row r="246">
      <c r="A246" s="177"/>
      <c r="B246" s="177"/>
      <c r="C246" s="177"/>
      <c r="D246" s="177"/>
      <c r="E246" s="177"/>
      <c r="F246" s="177"/>
      <c r="G246" s="177"/>
      <c r="H246" s="177"/>
      <c r="I246" s="177"/>
      <c r="J246" s="177"/>
      <c r="K246" s="177"/>
      <c r="L246" s="177"/>
      <c r="M246" s="177"/>
      <c r="N246" s="177"/>
      <c r="O246" s="177"/>
      <c r="P246" s="177"/>
      <c r="Q246" s="177"/>
      <c r="R246" s="177"/>
      <c r="S246" s="177"/>
      <c r="T246" s="177"/>
      <c r="U246" s="177"/>
      <c r="V246" s="177"/>
      <c r="W246" s="177"/>
      <c r="X246" s="177"/>
      <c r="Y246" s="177"/>
      <c r="Z246" s="177"/>
      <c r="AA246" s="177"/>
      <c r="AB246" s="177"/>
      <c r="AC246" s="177"/>
    </row>
    <row r="247">
      <c r="A247" s="177"/>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row>
    <row r="248">
      <c r="A248" s="177"/>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row>
    <row r="249">
      <c r="A249" s="177"/>
      <c r="B249" s="177"/>
      <c r="C249" s="177"/>
      <c r="D249" s="177"/>
      <c r="E249" s="177"/>
      <c r="F249" s="177"/>
      <c r="G249" s="177"/>
      <c r="H249" s="177"/>
      <c r="I249" s="177"/>
      <c r="J249" s="177"/>
      <c r="K249" s="177"/>
      <c r="L249" s="177"/>
      <c r="M249" s="177"/>
      <c r="N249" s="177"/>
      <c r="O249" s="177"/>
      <c r="P249" s="177"/>
      <c r="Q249" s="177"/>
      <c r="R249" s="177"/>
      <c r="S249" s="177"/>
      <c r="T249" s="177"/>
      <c r="U249" s="177"/>
      <c r="V249" s="177"/>
      <c r="W249" s="177"/>
      <c r="X249" s="177"/>
      <c r="Y249" s="177"/>
      <c r="Z249" s="177"/>
      <c r="AA249" s="177"/>
      <c r="AB249" s="177"/>
      <c r="AC249" s="177"/>
    </row>
    <row r="250">
      <c r="A250" s="177"/>
      <c r="B250" s="177"/>
      <c r="C250" s="177"/>
      <c r="D250" s="177"/>
      <c r="E250" s="177"/>
      <c r="F250" s="177"/>
      <c r="G250" s="177"/>
      <c r="H250" s="177"/>
      <c r="I250" s="177"/>
      <c r="J250" s="177"/>
      <c r="K250" s="177"/>
      <c r="L250" s="177"/>
      <c r="M250" s="177"/>
      <c r="N250" s="177"/>
      <c r="O250" s="177"/>
      <c r="P250" s="177"/>
      <c r="Q250" s="177"/>
      <c r="R250" s="177"/>
      <c r="S250" s="177"/>
      <c r="T250" s="177"/>
      <c r="U250" s="177"/>
      <c r="V250" s="177"/>
      <c r="W250" s="177"/>
      <c r="X250" s="177"/>
      <c r="Y250" s="177"/>
      <c r="Z250" s="177"/>
      <c r="AA250" s="177"/>
      <c r="AB250" s="177"/>
      <c r="AC250" s="177"/>
    </row>
    <row r="251">
      <c r="A251" s="177"/>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row>
    <row r="252">
      <c r="A252" s="177"/>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row>
    <row r="253">
      <c r="A253" s="177"/>
      <c r="B253" s="177"/>
      <c r="C253" s="177"/>
      <c r="D253" s="177"/>
      <c r="E253" s="177"/>
      <c r="F253" s="177"/>
      <c r="G253" s="177"/>
      <c r="H253" s="177"/>
      <c r="I253" s="177"/>
      <c r="J253" s="177"/>
      <c r="K253" s="177"/>
      <c r="L253" s="177"/>
      <c r="M253" s="177"/>
      <c r="N253" s="177"/>
      <c r="O253" s="177"/>
      <c r="P253" s="177"/>
      <c r="Q253" s="177"/>
      <c r="R253" s="177"/>
      <c r="S253" s="177"/>
      <c r="T253" s="177"/>
      <c r="U253" s="177"/>
      <c r="V253" s="177"/>
      <c r="W253" s="177"/>
      <c r="X253" s="177"/>
      <c r="Y253" s="177"/>
      <c r="Z253" s="177"/>
      <c r="AA253" s="177"/>
      <c r="AB253" s="177"/>
      <c r="AC253" s="177"/>
    </row>
    <row r="254">
      <c r="A254" s="177"/>
      <c r="B254" s="177"/>
      <c r="C254" s="177"/>
      <c r="D254" s="177"/>
      <c r="E254" s="177"/>
      <c r="F254" s="177"/>
      <c r="G254" s="177"/>
      <c r="H254" s="177"/>
      <c r="I254" s="177"/>
      <c r="J254" s="177"/>
      <c r="K254" s="177"/>
      <c r="L254" s="177"/>
      <c r="M254" s="177"/>
      <c r="N254" s="177"/>
      <c r="O254" s="177"/>
      <c r="P254" s="177"/>
      <c r="Q254" s="177"/>
      <c r="R254" s="177"/>
      <c r="S254" s="177"/>
      <c r="T254" s="177"/>
      <c r="U254" s="177"/>
      <c r="V254" s="177"/>
      <c r="W254" s="177"/>
      <c r="X254" s="177"/>
      <c r="Y254" s="177"/>
      <c r="Z254" s="177"/>
      <c r="AA254" s="177"/>
      <c r="AB254" s="177"/>
      <c r="AC254" s="177"/>
    </row>
    <row r="255">
      <c r="A255" s="177"/>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row>
    <row r="256">
      <c r="A256" s="177"/>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row>
    <row r="257">
      <c r="A257" s="177"/>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row>
    <row r="258">
      <c r="A258" s="177"/>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row>
    <row r="259">
      <c r="A259" s="177"/>
      <c r="B259" s="177"/>
      <c r="C259" s="177"/>
      <c r="D259" s="177"/>
      <c r="E259" s="177"/>
      <c r="F259" s="177"/>
      <c r="G259" s="177"/>
      <c r="H259" s="177"/>
      <c r="I259" s="177"/>
      <c r="J259" s="177"/>
      <c r="K259" s="177"/>
      <c r="L259" s="177"/>
      <c r="M259" s="177"/>
      <c r="N259" s="177"/>
      <c r="O259" s="177"/>
      <c r="P259" s="177"/>
      <c r="Q259" s="177"/>
      <c r="R259" s="177"/>
      <c r="S259" s="177"/>
      <c r="T259" s="177"/>
      <c r="U259" s="177"/>
      <c r="V259" s="177"/>
      <c r="W259" s="177"/>
      <c r="X259" s="177"/>
      <c r="Y259" s="177"/>
      <c r="Z259" s="177"/>
      <c r="AA259" s="177"/>
      <c r="AB259" s="177"/>
      <c r="AC259" s="177"/>
    </row>
    <row r="260">
      <c r="A260" s="177"/>
      <c r="B260" s="177"/>
      <c r="C260" s="177"/>
      <c r="D260" s="177"/>
      <c r="E260" s="177"/>
      <c r="F260" s="177"/>
      <c r="G260" s="177"/>
      <c r="H260" s="177"/>
      <c r="I260" s="177"/>
      <c r="J260" s="177"/>
      <c r="K260" s="177"/>
      <c r="L260" s="177"/>
      <c r="M260" s="177"/>
      <c r="N260" s="177"/>
      <c r="O260" s="177"/>
      <c r="P260" s="177"/>
      <c r="Q260" s="177"/>
      <c r="R260" s="177"/>
      <c r="S260" s="177"/>
      <c r="T260" s="177"/>
      <c r="U260" s="177"/>
      <c r="V260" s="177"/>
      <c r="W260" s="177"/>
      <c r="X260" s="177"/>
      <c r="Y260" s="177"/>
      <c r="Z260" s="177"/>
      <c r="AA260" s="177"/>
      <c r="AB260" s="177"/>
      <c r="AC260" s="177"/>
    </row>
    <row r="261">
      <c r="A261" s="177"/>
      <c r="B261" s="177"/>
      <c r="C261" s="177"/>
      <c r="D261" s="177"/>
      <c r="E261" s="177"/>
      <c r="F261" s="177"/>
      <c r="G261" s="177"/>
      <c r="H261" s="177"/>
      <c r="I261" s="177"/>
      <c r="J261" s="177"/>
      <c r="K261" s="177"/>
      <c r="L261" s="177"/>
      <c r="M261" s="177"/>
      <c r="N261" s="177"/>
      <c r="O261" s="177"/>
      <c r="P261" s="177"/>
      <c r="Q261" s="177"/>
      <c r="R261" s="177"/>
      <c r="S261" s="177"/>
      <c r="T261" s="177"/>
      <c r="U261" s="177"/>
      <c r="V261" s="177"/>
      <c r="W261" s="177"/>
      <c r="X261" s="177"/>
      <c r="Y261" s="177"/>
      <c r="Z261" s="177"/>
      <c r="AA261" s="177"/>
      <c r="AB261" s="177"/>
      <c r="AC261" s="177"/>
    </row>
    <row r="262">
      <c r="A262" s="177"/>
      <c r="B262" s="177"/>
      <c r="C262" s="177"/>
      <c r="D262" s="177"/>
      <c r="E262" s="177"/>
      <c r="F262" s="177"/>
      <c r="G262" s="177"/>
      <c r="H262" s="177"/>
      <c r="I262" s="177"/>
      <c r="J262" s="177"/>
      <c r="K262" s="177"/>
      <c r="L262" s="177"/>
      <c r="M262" s="177"/>
      <c r="N262" s="177"/>
      <c r="O262" s="177"/>
      <c r="P262" s="177"/>
      <c r="Q262" s="177"/>
      <c r="R262" s="177"/>
      <c r="S262" s="177"/>
      <c r="T262" s="177"/>
      <c r="U262" s="177"/>
      <c r="V262" s="177"/>
      <c r="W262" s="177"/>
      <c r="X262" s="177"/>
      <c r="Y262" s="177"/>
      <c r="Z262" s="177"/>
      <c r="AA262" s="177"/>
      <c r="AB262" s="177"/>
      <c r="AC262" s="177"/>
    </row>
    <row r="263">
      <c r="A263" s="177"/>
      <c r="B263" s="177"/>
      <c r="C263" s="177"/>
      <c r="D263" s="177"/>
      <c r="E263" s="177"/>
      <c r="F263" s="177"/>
      <c r="G263" s="177"/>
      <c r="H263" s="177"/>
      <c r="I263" s="177"/>
      <c r="J263" s="177"/>
      <c r="K263" s="177"/>
      <c r="L263" s="177"/>
      <c r="M263" s="177"/>
      <c r="N263" s="177"/>
      <c r="O263" s="177"/>
      <c r="P263" s="177"/>
      <c r="Q263" s="177"/>
      <c r="R263" s="177"/>
      <c r="S263" s="177"/>
      <c r="T263" s="177"/>
      <c r="U263" s="177"/>
      <c r="V263" s="177"/>
      <c r="W263" s="177"/>
      <c r="X263" s="177"/>
      <c r="Y263" s="177"/>
      <c r="Z263" s="177"/>
      <c r="AA263" s="177"/>
      <c r="AB263" s="177"/>
      <c r="AC263" s="177"/>
    </row>
    <row r="264">
      <c r="A264" s="177"/>
      <c r="B264" s="177"/>
      <c r="C264" s="177"/>
      <c r="D264" s="177"/>
      <c r="E264" s="177"/>
      <c r="F264" s="177"/>
      <c r="G264" s="177"/>
      <c r="H264" s="177"/>
      <c r="I264" s="177"/>
      <c r="J264" s="177"/>
      <c r="K264" s="177"/>
      <c r="L264" s="177"/>
      <c r="M264" s="177"/>
      <c r="N264" s="177"/>
      <c r="O264" s="177"/>
      <c r="P264" s="177"/>
      <c r="Q264" s="177"/>
      <c r="R264" s="177"/>
      <c r="S264" s="177"/>
      <c r="T264" s="177"/>
      <c r="U264" s="177"/>
      <c r="V264" s="177"/>
      <c r="W264" s="177"/>
      <c r="X264" s="177"/>
      <c r="Y264" s="177"/>
      <c r="Z264" s="177"/>
      <c r="AA264" s="177"/>
      <c r="AB264" s="177"/>
      <c r="AC264" s="177"/>
    </row>
    <row r="265">
      <c r="A265" s="177"/>
      <c r="B265" s="177"/>
      <c r="C265" s="177"/>
      <c r="D265" s="177"/>
      <c r="E265" s="177"/>
      <c r="F265" s="177"/>
      <c r="G265" s="177"/>
      <c r="H265" s="177"/>
      <c r="I265" s="177"/>
      <c r="J265" s="177"/>
      <c r="K265" s="177"/>
      <c r="L265" s="177"/>
      <c r="M265" s="177"/>
      <c r="N265" s="177"/>
      <c r="O265" s="177"/>
      <c r="P265" s="177"/>
      <c r="Q265" s="177"/>
      <c r="R265" s="177"/>
      <c r="S265" s="177"/>
      <c r="T265" s="177"/>
      <c r="U265" s="177"/>
      <c r="V265" s="177"/>
      <c r="W265" s="177"/>
      <c r="X265" s="177"/>
      <c r="Y265" s="177"/>
      <c r="Z265" s="177"/>
      <c r="AA265" s="177"/>
      <c r="AB265" s="177"/>
      <c r="AC265" s="177"/>
    </row>
    <row r="266">
      <c r="A266" s="177"/>
      <c r="B266" s="177"/>
      <c r="C266" s="177"/>
      <c r="D266" s="177"/>
      <c r="E266" s="177"/>
      <c r="F266" s="177"/>
      <c r="G266" s="177"/>
      <c r="H266" s="177"/>
      <c r="I266" s="177"/>
      <c r="J266" s="177"/>
      <c r="K266" s="177"/>
      <c r="L266" s="177"/>
      <c r="M266" s="177"/>
      <c r="N266" s="177"/>
      <c r="O266" s="177"/>
      <c r="P266" s="177"/>
      <c r="Q266" s="177"/>
      <c r="R266" s="177"/>
      <c r="S266" s="177"/>
      <c r="T266" s="177"/>
      <c r="U266" s="177"/>
      <c r="V266" s="177"/>
      <c r="W266" s="177"/>
      <c r="X266" s="177"/>
      <c r="Y266" s="177"/>
      <c r="Z266" s="177"/>
      <c r="AA266" s="177"/>
      <c r="AB266" s="177"/>
      <c r="AC266" s="177"/>
    </row>
    <row r="267">
      <c r="A267" s="177"/>
      <c r="B267" s="177"/>
      <c r="C267" s="177"/>
      <c r="D267" s="177"/>
      <c r="E267" s="177"/>
      <c r="F267" s="177"/>
      <c r="G267" s="177"/>
      <c r="H267" s="177"/>
      <c r="I267" s="177"/>
      <c r="J267" s="177"/>
      <c r="K267" s="177"/>
      <c r="L267" s="177"/>
      <c r="M267" s="177"/>
      <c r="N267" s="177"/>
      <c r="O267" s="177"/>
      <c r="P267" s="177"/>
      <c r="Q267" s="177"/>
      <c r="R267" s="177"/>
      <c r="S267" s="177"/>
      <c r="T267" s="177"/>
      <c r="U267" s="177"/>
      <c r="V267" s="177"/>
      <c r="W267" s="177"/>
      <c r="X267" s="177"/>
      <c r="Y267" s="177"/>
      <c r="Z267" s="177"/>
      <c r="AA267" s="177"/>
      <c r="AB267" s="177"/>
      <c r="AC267" s="177"/>
    </row>
    <row r="268">
      <c r="A268" s="177"/>
      <c r="B268" s="177"/>
      <c r="C268" s="177"/>
      <c r="D268" s="177"/>
      <c r="E268" s="177"/>
      <c r="F268" s="177"/>
      <c r="G268" s="177"/>
      <c r="H268" s="177"/>
      <c r="I268" s="177"/>
      <c r="J268" s="177"/>
      <c r="K268" s="177"/>
      <c r="L268" s="177"/>
      <c r="M268" s="177"/>
      <c r="N268" s="177"/>
      <c r="O268" s="177"/>
      <c r="P268" s="177"/>
      <c r="Q268" s="177"/>
      <c r="R268" s="177"/>
      <c r="S268" s="177"/>
      <c r="T268" s="177"/>
      <c r="U268" s="177"/>
      <c r="V268" s="177"/>
      <c r="W268" s="177"/>
      <c r="X268" s="177"/>
      <c r="Y268" s="177"/>
      <c r="Z268" s="177"/>
      <c r="AA268" s="177"/>
      <c r="AB268" s="177"/>
      <c r="AC268" s="177"/>
    </row>
    <row r="269">
      <c r="A269" s="177"/>
      <c r="B269" s="177"/>
      <c r="C269" s="177"/>
      <c r="D269" s="177"/>
      <c r="E269" s="177"/>
      <c r="F269" s="177"/>
      <c r="G269" s="177"/>
      <c r="H269" s="177"/>
      <c r="I269" s="177"/>
      <c r="J269" s="177"/>
      <c r="K269" s="177"/>
      <c r="L269" s="177"/>
      <c r="M269" s="177"/>
      <c r="N269" s="177"/>
      <c r="O269" s="177"/>
      <c r="P269" s="177"/>
      <c r="Q269" s="177"/>
      <c r="R269" s="177"/>
      <c r="S269" s="177"/>
      <c r="T269" s="177"/>
      <c r="U269" s="177"/>
      <c r="V269" s="177"/>
      <c r="W269" s="177"/>
      <c r="X269" s="177"/>
      <c r="Y269" s="177"/>
      <c r="Z269" s="177"/>
      <c r="AA269" s="177"/>
      <c r="AB269" s="177"/>
      <c r="AC269" s="177"/>
    </row>
    <row r="270">
      <c r="A270" s="177"/>
      <c r="B270" s="177"/>
      <c r="C270" s="177"/>
      <c r="D270" s="177"/>
      <c r="E270" s="177"/>
      <c r="F270" s="177"/>
      <c r="G270" s="177"/>
      <c r="H270" s="177"/>
      <c r="I270" s="177"/>
      <c r="J270" s="177"/>
      <c r="K270" s="177"/>
      <c r="L270" s="177"/>
      <c r="M270" s="177"/>
      <c r="N270" s="177"/>
      <c r="O270" s="177"/>
      <c r="P270" s="177"/>
      <c r="Q270" s="177"/>
      <c r="R270" s="177"/>
      <c r="S270" s="177"/>
      <c r="T270" s="177"/>
      <c r="U270" s="177"/>
      <c r="V270" s="177"/>
      <c r="W270" s="177"/>
      <c r="X270" s="177"/>
      <c r="Y270" s="177"/>
      <c r="Z270" s="177"/>
      <c r="AA270" s="177"/>
      <c r="AB270" s="177"/>
      <c r="AC270" s="177"/>
    </row>
    <row r="271">
      <c r="A271" s="177"/>
      <c r="B271" s="177"/>
      <c r="C271" s="177"/>
      <c r="D271" s="177"/>
      <c r="E271" s="177"/>
      <c r="F271" s="177"/>
      <c r="G271" s="177"/>
      <c r="H271" s="177"/>
      <c r="I271" s="177"/>
      <c r="J271" s="177"/>
      <c r="K271" s="177"/>
      <c r="L271" s="177"/>
      <c r="M271" s="177"/>
      <c r="N271" s="177"/>
      <c r="O271" s="177"/>
      <c r="P271" s="177"/>
      <c r="Q271" s="177"/>
      <c r="R271" s="177"/>
      <c r="S271" s="177"/>
      <c r="T271" s="177"/>
      <c r="U271" s="177"/>
      <c r="V271" s="177"/>
      <c r="W271" s="177"/>
      <c r="X271" s="177"/>
      <c r="Y271" s="177"/>
      <c r="Z271" s="177"/>
      <c r="AA271" s="177"/>
      <c r="AB271" s="177"/>
      <c r="AC271" s="177"/>
    </row>
    <row r="272">
      <c r="A272" s="177"/>
      <c r="B272" s="177"/>
      <c r="C272" s="177"/>
      <c r="D272" s="177"/>
      <c r="E272" s="177"/>
      <c r="F272" s="177"/>
      <c r="G272" s="177"/>
      <c r="H272" s="177"/>
      <c r="I272" s="177"/>
      <c r="J272" s="177"/>
      <c r="K272" s="177"/>
      <c r="L272" s="177"/>
      <c r="M272" s="177"/>
      <c r="N272" s="177"/>
      <c r="O272" s="177"/>
      <c r="P272" s="177"/>
      <c r="Q272" s="177"/>
      <c r="R272" s="177"/>
      <c r="S272" s="177"/>
      <c r="T272" s="177"/>
      <c r="U272" s="177"/>
      <c r="V272" s="177"/>
      <c r="W272" s="177"/>
      <c r="X272" s="177"/>
      <c r="Y272" s="177"/>
      <c r="Z272" s="177"/>
      <c r="AA272" s="177"/>
      <c r="AB272" s="177"/>
      <c r="AC272" s="177"/>
    </row>
    <row r="273">
      <c r="A273" s="177"/>
      <c r="B273" s="177"/>
      <c r="C273" s="177"/>
      <c r="D273" s="177"/>
      <c r="E273" s="177"/>
      <c r="F273" s="177"/>
      <c r="G273" s="177"/>
      <c r="H273" s="177"/>
      <c r="I273" s="177"/>
      <c r="J273" s="177"/>
      <c r="K273" s="177"/>
      <c r="L273" s="177"/>
      <c r="M273" s="177"/>
      <c r="N273" s="177"/>
      <c r="O273" s="177"/>
      <c r="P273" s="177"/>
      <c r="Q273" s="177"/>
      <c r="R273" s="177"/>
      <c r="S273" s="177"/>
      <c r="T273" s="177"/>
      <c r="U273" s="177"/>
      <c r="V273" s="177"/>
      <c r="W273" s="177"/>
      <c r="X273" s="177"/>
      <c r="Y273" s="177"/>
      <c r="Z273" s="177"/>
      <c r="AA273" s="177"/>
      <c r="AB273" s="177"/>
      <c r="AC273" s="177"/>
    </row>
    <row r="274">
      <c r="A274" s="177"/>
      <c r="B274" s="177"/>
      <c r="C274" s="177"/>
      <c r="D274" s="177"/>
      <c r="E274" s="177"/>
      <c r="F274" s="177"/>
      <c r="G274" s="177"/>
      <c r="H274" s="177"/>
      <c r="I274" s="177"/>
      <c r="J274" s="177"/>
      <c r="K274" s="177"/>
      <c r="L274" s="177"/>
      <c r="M274" s="177"/>
      <c r="N274" s="177"/>
      <c r="O274" s="177"/>
      <c r="P274" s="177"/>
      <c r="Q274" s="177"/>
      <c r="R274" s="177"/>
      <c r="S274" s="177"/>
      <c r="T274" s="177"/>
      <c r="U274" s="177"/>
      <c r="V274" s="177"/>
      <c r="W274" s="177"/>
      <c r="X274" s="177"/>
      <c r="Y274" s="177"/>
      <c r="Z274" s="177"/>
      <c r="AA274" s="177"/>
      <c r="AB274" s="177"/>
      <c r="AC274" s="177"/>
    </row>
    <row r="275">
      <c r="A275" s="177"/>
      <c r="B275" s="177"/>
      <c r="C275" s="177"/>
      <c r="D275" s="177"/>
      <c r="E275" s="177"/>
      <c r="F275" s="177"/>
      <c r="G275" s="177"/>
      <c r="H275" s="177"/>
      <c r="I275" s="177"/>
      <c r="J275" s="177"/>
      <c r="K275" s="177"/>
      <c r="L275" s="177"/>
      <c r="M275" s="177"/>
      <c r="N275" s="177"/>
      <c r="O275" s="177"/>
      <c r="P275" s="177"/>
      <c r="Q275" s="177"/>
      <c r="R275" s="177"/>
      <c r="S275" s="177"/>
      <c r="T275" s="177"/>
      <c r="U275" s="177"/>
      <c r="V275" s="177"/>
      <c r="W275" s="177"/>
      <c r="X275" s="177"/>
      <c r="Y275" s="177"/>
      <c r="Z275" s="177"/>
      <c r="AA275" s="177"/>
      <c r="AB275" s="177"/>
      <c r="AC275" s="177"/>
    </row>
    <row r="276">
      <c r="A276" s="177"/>
      <c r="B276" s="177"/>
      <c r="C276" s="177"/>
      <c r="D276" s="177"/>
      <c r="E276" s="177"/>
      <c r="F276" s="177"/>
      <c r="G276" s="177"/>
      <c r="H276" s="177"/>
      <c r="I276" s="177"/>
      <c r="J276" s="177"/>
      <c r="K276" s="177"/>
      <c r="L276" s="177"/>
      <c r="M276" s="177"/>
      <c r="N276" s="177"/>
      <c r="O276" s="177"/>
      <c r="P276" s="177"/>
      <c r="Q276" s="177"/>
      <c r="R276" s="177"/>
      <c r="S276" s="177"/>
      <c r="T276" s="177"/>
      <c r="U276" s="177"/>
      <c r="V276" s="177"/>
      <c r="W276" s="177"/>
      <c r="X276" s="177"/>
      <c r="Y276" s="177"/>
      <c r="Z276" s="177"/>
      <c r="AA276" s="177"/>
      <c r="AB276" s="177"/>
      <c r="AC276" s="177"/>
    </row>
    <row r="277">
      <c r="A277" s="177"/>
      <c r="B277" s="177"/>
      <c r="C277" s="177"/>
      <c r="D277" s="177"/>
      <c r="E277" s="177"/>
      <c r="F277" s="177"/>
      <c r="G277" s="177"/>
      <c r="H277" s="177"/>
      <c r="I277" s="177"/>
      <c r="J277" s="177"/>
      <c r="K277" s="177"/>
      <c r="L277" s="177"/>
      <c r="M277" s="177"/>
      <c r="N277" s="177"/>
      <c r="O277" s="177"/>
      <c r="P277" s="177"/>
      <c r="Q277" s="177"/>
      <c r="R277" s="177"/>
      <c r="S277" s="177"/>
      <c r="T277" s="177"/>
      <c r="U277" s="177"/>
      <c r="V277" s="177"/>
      <c r="W277" s="177"/>
      <c r="X277" s="177"/>
      <c r="Y277" s="177"/>
      <c r="Z277" s="177"/>
      <c r="AA277" s="177"/>
      <c r="AB277" s="177"/>
      <c r="AC277" s="177"/>
    </row>
    <row r="278">
      <c r="A278" s="177"/>
      <c r="B278" s="177"/>
      <c r="C278" s="177"/>
      <c r="D278" s="177"/>
      <c r="E278" s="177"/>
      <c r="F278" s="177"/>
      <c r="G278" s="177"/>
      <c r="H278" s="177"/>
      <c r="I278" s="177"/>
      <c r="J278" s="177"/>
      <c r="K278" s="177"/>
      <c r="L278" s="177"/>
      <c r="M278" s="177"/>
      <c r="N278" s="177"/>
      <c r="O278" s="177"/>
      <c r="P278" s="177"/>
      <c r="Q278" s="177"/>
      <c r="R278" s="177"/>
      <c r="S278" s="177"/>
      <c r="T278" s="177"/>
      <c r="U278" s="177"/>
      <c r="V278" s="177"/>
      <c r="W278" s="177"/>
      <c r="X278" s="177"/>
      <c r="Y278" s="177"/>
      <c r="Z278" s="177"/>
      <c r="AA278" s="177"/>
      <c r="AB278" s="177"/>
      <c r="AC278" s="177"/>
    </row>
    <row r="279">
      <c r="A279" s="177"/>
      <c r="B279" s="177"/>
      <c r="C279" s="177"/>
      <c r="D279" s="177"/>
      <c r="E279" s="177"/>
      <c r="F279" s="177"/>
      <c r="G279" s="177"/>
      <c r="H279" s="177"/>
      <c r="I279" s="177"/>
      <c r="J279" s="177"/>
      <c r="K279" s="177"/>
      <c r="L279" s="177"/>
      <c r="M279" s="177"/>
      <c r="N279" s="177"/>
      <c r="O279" s="177"/>
      <c r="P279" s="177"/>
      <c r="Q279" s="177"/>
      <c r="R279" s="177"/>
      <c r="S279" s="177"/>
      <c r="T279" s="177"/>
      <c r="U279" s="177"/>
      <c r="V279" s="177"/>
      <c r="W279" s="177"/>
      <c r="X279" s="177"/>
      <c r="Y279" s="177"/>
      <c r="Z279" s="177"/>
      <c r="AA279" s="177"/>
      <c r="AB279" s="177"/>
      <c r="AC279" s="177"/>
    </row>
    <row r="280">
      <c r="A280" s="177"/>
      <c r="B280" s="177"/>
      <c r="C280" s="177"/>
      <c r="D280" s="177"/>
      <c r="E280" s="177"/>
      <c r="F280" s="177"/>
      <c r="G280" s="177"/>
      <c r="H280" s="177"/>
      <c r="I280" s="177"/>
      <c r="J280" s="177"/>
      <c r="K280" s="177"/>
      <c r="L280" s="177"/>
      <c r="M280" s="177"/>
      <c r="N280" s="177"/>
      <c r="O280" s="177"/>
      <c r="P280" s="177"/>
      <c r="Q280" s="177"/>
      <c r="R280" s="177"/>
      <c r="S280" s="177"/>
      <c r="T280" s="177"/>
      <c r="U280" s="177"/>
      <c r="V280" s="177"/>
      <c r="W280" s="177"/>
      <c r="X280" s="177"/>
      <c r="Y280" s="177"/>
      <c r="Z280" s="177"/>
      <c r="AA280" s="177"/>
      <c r="AB280" s="177"/>
      <c r="AC280" s="177"/>
    </row>
    <row r="281">
      <c r="A281" s="177"/>
      <c r="B281" s="177"/>
      <c r="C281" s="177"/>
      <c r="D281" s="177"/>
      <c r="E281" s="177"/>
      <c r="F281" s="177"/>
      <c r="G281" s="177"/>
      <c r="H281" s="177"/>
      <c r="I281" s="177"/>
      <c r="J281" s="177"/>
      <c r="K281" s="177"/>
      <c r="L281" s="177"/>
      <c r="M281" s="177"/>
      <c r="N281" s="177"/>
      <c r="O281" s="177"/>
      <c r="P281" s="177"/>
      <c r="Q281" s="177"/>
      <c r="R281" s="177"/>
      <c r="S281" s="177"/>
      <c r="T281" s="177"/>
      <c r="U281" s="177"/>
      <c r="V281" s="177"/>
      <c r="W281" s="177"/>
      <c r="X281" s="177"/>
      <c r="Y281" s="177"/>
      <c r="Z281" s="177"/>
      <c r="AA281" s="177"/>
      <c r="AB281" s="177"/>
      <c r="AC281" s="177"/>
    </row>
    <row r="282">
      <c r="A282" s="177"/>
      <c r="B282" s="177"/>
      <c r="C282" s="177"/>
      <c r="D282" s="177"/>
      <c r="E282" s="177"/>
      <c r="F282" s="177"/>
      <c r="G282" s="177"/>
      <c r="H282" s="177"/>
      <c r="I282" s="177"/>
      <c r="J282" s="177"/>
      <c r="K282" s="177"/>
      <c r="L282" s="177"/>
      <c r="M282" s="177"/>
      <c r="N282" s="177"/>
      <c r="O282" s="177"/>
      <c r="P282" s="177"/>
      <c r="Q282" s="177"/>
      <c r="R282" s="177"/>
      <c r="S282" s="177"/>
      <c r="T282" s="177"/>
      <c r="U282" s="177"/>
      <c r="V282" s="177"/>
      <c r="W282" s="177"/>
      <c r="X282" s="177"/>
      <c r="Y282" s="177"/>
      <c r="Z282" s="177"/>
      <c r="AA282" s="177"/>
      <c r="AB282" s="177"/>
      <c r="AC282" s="177"/>
    </row>
    <row r="283">
      <c r="A283" s="177"/>
      <c r="B283" s="177"/>
      <c r="C283" s="177"/>
      <c r="D283" s="177"/>
      <c r="E283" s="177"/>
      <c r="F283" s="177"/>
      <c r="G283" s="177"/>
      <c r="H283" s="177"/>
      <c r="I283" s="177"/>
      <c r="J283" s="177"/>
      <c r="K283" s="177"/>
      <c r="L283" s="177"/>
      <c r="M283" s="177"/>
      <c r="N283" s="177"/>
      <c r="O283" s="177"/>
      <c r="P283" s="177"/>
      <c r="Q283" s="177"/>
      <c r="R283" s="177"/>
      <c r="S283" s="177"/>
      <c r="T283" s="177"/>
      <c r="U283" s="177"/>
      <c r="V283" s="177"/>
      <c r="W283" s="177"/>
      <c r="X283" s="177"/>
      <c r="Y283" s="177"/>
      <c r="Z283" s="177"/>
      <c r="AA283" s="177"/>
      <c r="AB283" s="177"/>
      <c r="AC283" s="177"/>
    </row>
    <row r="284">
      <c r="A284" s="177"/>
      <c r="B284" s="177"/>
      <c r="C284" s="177"/>
      <c r="D284" s="177"/>
      <c r="E284" s="177"/>
      <c r="F284" s="177"/>
      <c r="G284" s="177"/>
      <c r="H284" s="177"/>
      <c r="I284" s="177"/>
      <c r="J284" s="177"/>
      <c r="K284" s="177"/>
      <c r="L284" s="177"/>
      <c r="M284" s="177"/>
      <c r="N284" s="177"/>
      <c r="O284" s="177"/>
      <c r="P284" s="177"/>
      <c r="Q284" s="177"/>
      <c r="R284" s="177"/>
      <c r="S284" s="177"/>
      <c r="T284" s="177"/>
      <c r="U284" s="177"/>
      <c r="V284" s="177"/>
      <c r="W284" s="177"/>
      <c r="X284" s="177"/>
      <c r="Y284" s="177"/>
      <c r="Z284" s="177"/>
      <c r="AA284" s="177"/>
      <c r="AB284" s="177"/>
      <c r="AC284" s="177"/>
    </row>
    <row r="285">
      <c r="A285" s="177"/>
      <c r="B285" s="177"/>
      <c r="C285" s="177"/>
      <c r="D285" s="177"/>
      <c r="E285" s="177"/>
      <c r="F285" s="177"/>
      <c r="G285" s="177"/>
      <c r="H285" s="177"/>
      <c r="I285" s="177"/>
      <c r="J285" s="177"/>
      <c r="K285" s="177"/>
      <c r="L285" s="177"/>
      <c r="M285" s="177"/>
      <c r="N285" s="177"/>
      <c r="O285" s="177"/>
      <c r="P285" s="177"/>
      <c r="Q285" s="177"/>
      <c r="R285" s="177"/>
      <c r="S285" s="177"/>
      <c r="T285" s="177"/>
      <c r="U285" s="177"/>
      <c r="V285" s="177"/>
      <c r="W285" s="177"/>
      <c r="X285" s="177"/>
      <c r="Y285" s="177"/>
      <c r="Z285" s="177"/>
      <c r="AA285" s="177"/>
      <c r="AB285" s="177"/>
      <c r="AC285" s="177"/>
    </row>
    <row r="286">
      <c r="A286" s="177"/>
      <c r="B286" s="177"/>
      <c r="C286" s="177"/>
      <c r="D286" s="177"/>
      <c r="E286" s="177"/>
      <c r="F286" s="177"/>
      <c r="G286" s="177"/>
      <c r="H286" s="177"/>
      <c r="I286" s="177"/>
      <c r="J286" s="177"/>
      <c r="K286" s="177"/>
      <c r="L286" s="177"/>
      <c r="M286" s="177"/>
      <c r="N286" s="177"/>
      <c r="O286" s="177"/>
      <c r="P286" s="177"/>
      <c r="Q286" s="177"/>
      <c r="R286" s="177"/>
      <c r="S286" s="177"/>
      <c r="T286" s="177"/>
      <c r="U286" s="177"/>
      <c r="V286" s="177"/>
      <c r="W286" s="177"/>
      <c r="X286" s="177"/>
      <c r="Y286" s="177"/>
      <c r="Z286" s="177"/>
      <c r="AA286" s="177"/>
      <c r="AB286" s="177"/>
      <c r="AC286" s="177"/>
    </row>
    <row r="287">
      <c r="A287" s="177"/>
      <c r="B287" s="177"/>
      <c r="C287" s="177"/>
      <c r="D287" s="177"/>
      <c r="E287" s="177"/>
      <c r="F287" s="177"/>
      <c r="G287" s="177"/>
      <c r="H287" s="177"/>
      <c r="I287" s="177"/>
      <c r="J287" s="177"/>
      <c r="K287" s="177"/>
      <c r="L287" s="177"/>
      <c r="M287" s="177"/>
      <c r="N287" s="177"/>
      <c r="O287" s="177"/>
      <c r="P287" s="177"/>
      <c r="Q287" s="177"/>
      <c r="R287" s="177"/>
      <c r="S287" s="177"/>
      <c r="T287" s="177"/>
      <c r="U287" s="177"/>
      <c r="V287" s="177"/>
      <c r="W287" s="177"/>
      <c r="X287" s="177"/>
      <c r="Y287" s="177"/>
      <c r="Z287" s="177"/>
      <c r="AA287" s="177"/>
      <c r="AB287" s="177"/>
      <c r="AC287" s="177"/>
    </row>
    <row r="288">
      <c r="A288" s="177"/>
      <c r="B288" s="177"/>
      <c r="C288" s="177"/>
      <c r="D288" s="177"/>
      <c r="E288" s="177"/>
      <c r="F288" s="177"/>
      <c r="G288" s="177"/>
      <c r="H288" s="177"/>
      <c r="I288" s="177"/>
      <c r="J288" s="177"/>
      <c r="K288" s="177"/>
      <c r="L288" s="177"/>
      <c r="M288" s="177"/>
      <c r="N288" s="177"/>
      <c r="O288" s="177"/>
      <c r="P288" s="177"/>
      <c r="Q288" s="177"/>
      <c r="R288" s="177"/>
      <c r="S288" s="177"/>
      <c r="T288" s="177"/>
      <c r="U288" s="177"/>
      <c r="V288" s="177"/>
      <c r="W288" s="177"/>
      <c r="X288" s="177"/>
      <c r="Y288" s="177"/>
      <c r="Z288" s="177"/>
      <c r="AA288" s="177"/>
      <c r="AB288" s="177"/>
      <c r="AC288" s="177"/>
    </row>
    <row r="289">
      <c r="A289" s="177"/>
      <c r="B289" s="177"/>
      <c r="C289" s="177"/>
      <c r="D289" s="177"/>
      <c r="E289" s="177"/>
      <c r="F289" s="177"/>
      <c r="G289" s="177"/>
      <c r="H289" s="177"/>
      <c r="I289" s="177"/>
      <c r="J289" s="177"/>
      <c r="K289" s="177"/>
      <c r="L289" s="177"/>
      <c r="M289" s="177"/>
      <c r="N289" s="177"/>
      <c r="O289" s="177"/>
      <c r="P289" s="177"/>
      <c r="Q289" s="177"/>
      <c r="R289" s="177"/>
      <c r="S289" s="177"/>
      <c r="T289" s="177"/>
      <c r="U289" s="177"/>
      <c r="V289" s="177"/>
      <c r="W289" s="177"/>
      <c r="X289" s="177"/>
      <c r="Y289" s="177"/>
      <c r="Z289" s="177"/>
      <c r="AA289" s="177"/>
      <c r="AB289" s="177"/>
      <c r="AC289" s="177"/>
    </row>
    <row r="290">
      <c r="A290" s="177"/>
      <c r="B290" s="177"/>
      <c r="C290" s="177"/>
      <c r="D290" s="177"/>
      <c r="E290" s="177"/>
      <c r="F290" s="177"/>
      <c r="G290" s="177"/>
      <c r="H290" s="177"/>
      <c r="I290" s="177"/>
      <c r="J290" s="177"/>
      <c r="K290" s="177"/>
      <c r="L290" s="177"/>
      <c r="M290" s="177"/>
      <c r="N290" s="177"/>
      <c r="O290" s="177"/>
      <c r="P290" s="177"/>
      <c r="Q290" s="177"/>
      <c r="R290" s="177"/>
      <c r="S290" s="177"/>
      <c r="T290" s="177"/>
      <c r="U290" s="177"/>
      <c r="V290" s="177"/>
      <c r="W290" s="177"/>
      <c r="X290" s="177"/>
      <c r="Y290" s="177"/>
      <c r="Z290" s="177"/>
      <c r="AA290" s="177"/>
      <c r="AB290" s="177"/>
      <c r="AC290" s="177"/>
    </row>
    <row r="291">
      <c r="A291" s="177"/>
      <c r="B291" s="177"/>
      <c r="C291" s="177"/>
      <c r="D291" s="177"/>
      <c r="E291" s="177"/>
      <c r="F291" s="177"/>
      <c r="G291" s="177"/>
      <c r="H291" s="177"/>
      <c r="I291" s="177"/>
      <c r="J291" s="177"/>
      <c r="K291" s="177"/>
      <c r="L291" s="177"/>
      <c r="M291" s="177"/>
      <c r="N291" s="177"/>
      <c r="O291" s="177"/>
      <c r="P291" s="177"/>
      <c r="Q291" s="177"/>
      <c r="R291" s="177"/>
      <c r="S291" s="177"/>
      <c r="T291" s="177"/>
      <c r="U291" s="177"/>
      <c r="V291" s="177"/>
      <c r="W291" s="177"/>
      <c r="X291" s="177"/>
      <c r="Y291" s="177"/>
      <c r="Z291" s="177"/>
      <c r="AA291" s="177"/>
      <c r="AB291" s="177"/>
      <c r="AC291" s="177"/>
    </row>
    <row r="292">
      <c r="A292" s="177"/>
      <c r="B292" s="177"/>
      <c r="C292" s="177"/>
      <c r="D292" s="177"/>
      <c r="E292" s="177"/>
      <c r="F292" s="177"/>
      <c r="G292" s="177"/>
      <c r="H292" s="177"/>
      <c r="I292" s="177"/>
      <c r="J292" s="177"/>
      <c r="K292" s="177"/>
      <c r="L292" s="177"/>
      <c r="M292" s="177"/>
      <c r="N292" s="177"/>
      <c r="O292" s="177"/>
      <c r="P292" s="177"/>
      <c r="Q292" s="177"/>
      <c r="R292" s="177"/>
      <c r="S292" s="177"/>
      <c r="T292" s="177"/>
      <c r="U292" s="177"/>
      <c r="V292" s="177"/>
      <c r="W292" s="177"/>
      <c r="X292" s="177"/>
      <c r="Y292" s="177"/>
      <c r="Z292" s="177"/>
      <c r="AA292" s="177"/>
      <c r="AB292" s="177"/>
      <c r="AC292" s="177"/>
    </row>
    <row r="293">
      <c r="A293" s="177"/>
      <c r="B293" s="177"/>
      <c r="C293" s="177"/>
      <c r="D293" s="177"/>
      <c r="E293" s="177"/>
      <c r="F293" s="177"/>
      <c r="G293" s="177"/>
      <c r="H293" s="177"/>
      <c r="I293" s="177"/>
      <c r="J293" s="177"/>
      <c r="K293" s="177"/>
      <c r="L293" s="177"/>
      <c r="M293" s="177"/>
      <c r="N293" s="177"/>
      <c r="O293" s="177"/>
      <c r="P293" s="177"/>
      <c r="Q293" s="177"/>
      <c r="R293" s="177"/>
      <c r="S293" s="177"/>
      <c r="T293" s="177"/>
      <c r="U293" s="177"/>
      <c r="V293" s="177"/>
      <c r="W293" s="177"/>
      <c r="X293" s="177"/>
      <c r="Y293" s="177"/>
      <c r="Z293" s="177"/>
      <c r="AA293" s="177"/>
      <c r="AB293" s="177"/>
      <c r="AC293" s="177"/>
    </row>
    <row r="294">
      <c r="A294" s="177"/>
      <c r="B294" s="177"/>
      <c r="C294" s="177"/>
      <c r="D294" s="177"/>
      <c r="E294" s="177"/>
      <c r="F294" s="177"/>
      <c r="G294" s="177"/>
      <c r="H294" s="177"/>
      <c r="I294" s="177"/>
      <c r="J294" s="177"/>
      <c r="K294" s="177"/>
      <c r="L294" s="177"/>
      <c r="M294" s="177"/>
      <c r="N294" s="177"/>
      <c r="O294" s="177"/>
      <c r="P294" s="177"/>
      <c r="Q294" s="177"/>
      <c r="R294" s="177"/>
      <c r="S294" s="177"/>
      <c r="T294" s="177"/>
      <c r="U294" s="177"/>
      <c r="V294" s="177"/>
      <c r="W294" s="177"/>
      <c r="X294" s="177"/>
      <c r="Y294" s="177"/>
      <c r="Z294" s="177"/>
      <c r="AA294" s="177"/>
      <c r="AB294" s="177"/>
      <c r="AC294" s="177"/>
    </row>
    <row r="295">
      <c r="A295" s="177"/>
      <c r="B295" s="177"/>
      <c r="C295" s="177"/>
      <c r="D295" s="177"/>
      <c r="E295" s="177"/>
      <c r="F295" s="177"/>
      <c r="G295" s="177"/>
      <c r="H295" s="177"/>
      <c r="I295" s="177"/>
      <c r="J295" s="177"/>
      <c r="K295" s="177"/>
      <c r="L295" s="177"/>
      <c r="M295" s="177"/>
      <c r="N295" s="177"/>
      <c r="O295" s="177"/>
      <c r="P295" s="177"/>
      <c r="Q295" s="177"/>
      <c r="R295" s="177"/>
      <c r="S295" s="177"/>
      <c r="T295" s="177"/>
      <c r="U295" s="177"/>
      <c r="V295" s="177"/>
      <c r="W295" s="177"/>
      <c r="X295" s="177"/>
      <c r="Y295" s="177"/>
      <c r="Z295" s="177"/>
      <c r="AA295" s="177"/>
      <c r="AB295" s="177"/>
      <c r="AC295" s="177"/>
    </row>
    <row r="296">
      <c r="A296" s="177"/>
      <c r="B296" s="177"/>
      <c r="C296" s="177"/>
      <c r="D296" s="177"/>
      <c r="E296" s="177"/>
      <c r="F296" s="177"/>
      <c r="G296" s="177"/>
      <c r="H296" s="177"/>
      <c r="I296" s="177"/>
      <c r="J296" s="177"/>
      <c r="K296" s="177"/>
      <c r="L296" s="177"/>
      <c r="M296" s="177"/>
      <c r="N296" s="177"/>
      <c r="O296" s="177"/>
      <c r="P296" s="177"/>
      <c r="Q296" s="177"/>
      <c r="R296" s="177"/>
      <c r="S296" s="177"/>
      <c r="T296" s="177"/>
      <c r="U296" s="177"/>
      <c r="V296" s="177"/>
      <c r="W296" s="177"/>
      <c r="X296" s="177"/>
      <c r="Y296" s="177"/>
      <c r="Z296" s="177"/>
      <c r="AA296" s="177"/>
      <c r="AB296" s="177"/>
      <c r="AC296" s="177"/>
    </row>
    <row r="297">
      <c r="A297" s="177"/>
      <c r="B297" s="177"/>
      <c r="C297" s="177"/>
      <c r="D297" s="177"/>
      <c r="E297" s="177"/>
      <c r="F297" s="177"/>
      <c r="G297" s="177"/>
      <c r="H297" s="177"/>
      <c r="I297" s="177"/>
      <c r="J297" s="177"/>
      <c r="K297" s="177"/>
      <c r="L297" s="177"/>
      <c r="M297" s="177"/>
      <c r="N297" s="177"/>
      <c r="O297" s="177"/>
      <c r="P297" s="177"/>
      <c r="Q297" s="177"/>
      <c r="R297" s="177"/>
      <c r="S297" s="177"/>
      <c r="T297" s="177"/>
      <c r="U297" s="177"/>
      <c r="V297" s="177"/>
      <c r="W297" s="177"/>
      <c r="X297" s="177"/>
      <c r="Y297" s="177"/>
      <c r="Z297" s="177"/>
      <c r="AA297" s="177"/>
      <c r="AB297" s="177"/>
      <c r="AC297" s="177"/>
    </row>
    <row r="298">
      <c r="A298" s="177"/>
      <c r="B298" s="177"/>
      <c r="C298" s="177"/>
      <c r="D298" s="177"/>
      <c r="E298" s="177"/>
      <c r="F298" s="177"/>
      <c r="G298" s="177"/>
      <c r="H298" s="177"/>
      <c r="I298" s="177"/>
      <c r="J298" s="177"/>
      <c r="K298" s="177"/>
      <c r="L298" s="177"/>
      <c r="M298" s="177"/>
      <c r="N298" s="177"/>
      <c r="O298" s="177"/>
      <c r="P298" s="177"/>
      <c r="Q298" s="177"/>
      <c r="R298" s="177"/>
      <c r="S298" s="177"/>
      <c r="T298" s="177"/>
      <c r="U298" s="177"/>
      <c r="V298" s="177"/>
      <c r="W298" s="177"/>
      <c r="X298" s="177"/>
      <c r="Y298" s="177"/>
      <c r="Z298" s="177"/>
      <c r="AA298" s="177"/>
      <c r="AB298" s="177"/>
      <c r="AC298" s="177"/>
    </row>
    <row r="299">
      <c r="A299" s="177"/>
      <c r="B299" s="177"/>
      <c r="C299" s="177"/>
      <c r="D299" s="177"/>
      <c r="E299" s="177"/>
      <c r="F299" s="177"/>
      <c r="G299" s="177"/>
      <c r="H299" s="177"/>
      <c r="I299" s="177"/>
      <c r="J299" s="177"/>
      <c r="K299" s="177"/>
      <c r="L299" s="177"/>
      <c r="M299" s="177"/>
      <c r="N299" s="177"/>
      <c r="O299" s="177"/>
      <c r="P299" s="177"/>
      <c r="Q299" s="177"/>
      <c r="R299" s="177"/>
      <c r="S299" s="177"/>
      <c r="T299" s="177"/>
      <c r="U299" s="177"/>
      <c r="V299" s="177"/>
      <c r="W299" s="177"/>
      <c r="X299" s="177"/>
      <c r="Y299" s="177"/>
      <c r="Z299" s="177"/>
      <c r="AA299" s="177"/>
      <c r="AB299" s="177"/>
      <c r="AC299" s="177"/>
    </row>
    <row r="300">
      <c r="A300" s="177"/>
      <c r="B300" s="177"/>
      <c r="C300" s="177"/>
      <c r="D300" s="177"/>
      <c r="E300" s="177"/>
      <c r="F300" s="177"/>
      <c r="G300" s="177"/>
      <c r="H300" s="177"/>
      <c r="I300" s="177"/>
      <c r="J300" s="177"/>
      <c r="K300" s="177"/>
      <c r="L300" s="177"/>
      <c r="M300" s="177"/>
      <c r="N300" s="177"/>
      <c r="O300" s="177"/>
      <c r="P300" s="177"/>
      <c r="Q300" s="177"/>
      <c r="R300" s="177"/>
      <c r="S300" s="177"/>
      <c r="T300" s="177"/>
      <c r="U300" s="177"/>
      <c r="V300" s="177"/>
      <c r="W300" s="177"/>
      <c r="X300" s="177"/>
      <c r="Y300" s="177"/>
      <c r="Z300" s="177"/>
      <c r="AA300" s="177"/>
      <c r="AB300" s="177"/>
      <c r="AC300" s="177"/>
    </row>
    <row r="301">
      <c r="A301" s="177"/>
      <c r="B301" s="177"/>
      <c r="C301" s="177"/>
      <c r="D301" s="177"/>
      <c r="E301" s="177"/>
      <c r="F301" s="177"/>
      <c r="G301" s="177"/>
      <c r="H301" s="177"/>
      <c r="I301" s="177"/>
      <c r="J301" s="177"/>
      <c r="K301" s="177"/>
      <c r="L301" s="177"/>
      <c r="M301" s="177"/>
      <c r="N301" s="177"/>
      <c r="O301" s="177"/>
      <c r="P301" s="177"/>
      <c r="Q301" s="177"/>
      <c r="R301" s="177"/>
      <c r="S301" s="177"/>
      <c r="T301" s="177"/>
      <c r="U301" s="177"/>
      <c r="V301" s="177"/>
      <c r="W301" s="177"/>
      <c r="X301" s="177"/>
      <c r="Y301" s="177"/>
      <c r="Z301" s="177"/>
      <c r="AA301" s="177"/>
      <c r="AB301" s="177"/>
      <c r="AC301" s="177"/>
    </row>
    <row r="302">
      <c r="A302" s="177"/>
      <c r="B302" s="177"/>
      <c r="C302" s="177"/>
      <c r="D302" s="177"/>
      <c r="E302" s="177"/>
      <c r="F302" s="177"/>
      <c r="G302" s="177"/>
      <c r="H302" s="177"/>
      <c r="I302" s="177"/>
      <c r="J302" s="177"/>
      <c r="K302" s="177"/>
      <c r="L302" s="177"/>
      <c r="M302" s="177"/>
      <c r="N302" s="177"/>
      <c r="O302" s="177"/>
      <c r="P302" s="177"/>
      <c r="Q302" s="177"/>
      <c r="R302" s="177"/>
      <c r="S302" s="177"/>
      <c r="T302" s="177"/>
      <c r="U302" s="177"/>
      <c r="V302" s="177"/>
      <c r="W302" s="177"/>
      <c r="X302" s="177"/>
      <c r="Y302" s="177"/>
      <c r="Z302" s="177"/>
      <c r="AA302" s="177"/>
      <c r="AB302" s="177"/>
      <c r="AC302" s="177"/>
    </row>
    <row r="303">
      <c r="A303" s="177"/>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row>
    <row r="304">
      <c r="A304" s="177"/>
      <c r="B304" s="177"/>
      <c r="C304" s="177"/>
      <c r="D304" s="177"/>
      <c r="E304" s="177"/>
      <c r="F304" s="177"/>
      <c r="G304" s="177"/>
      <c r="H304" s="177"/>
      <c r="I304" s="177"/>
      <c r="J304" s="177"/>
      <c r="K304" s="177"/>
      <c r="L304" s="177"/>
      <c r="M304" s="177"/>
      <c r="N304" s="177"/>
      <c r="O304" s="177"/>
      <c r="P304" s="177"/>
      <c r="Q304" s="177"/>
      <c r="R304" s="177"/>
      <c r="S304" s="177"/>
      <c r="T304" s="177"/>
      <c r="U304" s="177"/>
      <c r="V304" s="177"/>
      <c r="W304" s="177"/>
      <c r="X304" s="177"/>
      <c r="Y304" s="177"/>
      <c r="Z304" s="177"/>
      <c r="AA304" s="177"/>
      <c r="AB304" s="177"/>
      <c r="AC304" s="177"/>
    </row>
    <row r="305">
      <c r="A305" s="177"/>
      <c r="B305" s="177"/>
      <c r="C305" s="177"/>
      <c r="D305" s="177"/>
      <c r="E305" s="177"/>
      <c r="F305" s="177"/>
      <c r="G305" s="177"/>
      <c r="H305" s="177"/>
      <c r="I305" s="177"/>
      <c r="J305" s="177"/>
      <c r="K305" s="177"/>
      <c r="L305" s="177"/>
      <c r="M305" s="177"/>
      <c r="N305" s="177"/>
      <c r="O305" s="177"/>
      <c r="P305" s="177"/>
      <c r="Q305" s="177"/>
      <c r="R305" s="177"/>
      <c r="S305" s="177"/>
      <c r="T305" s="177"/>
      <c r="U305" s="177"/>
      <c r="V305" s="177"/>
      <c r="W305" s="177"/>
      <c r="X305" s="177"/>
      <c r="Y305" s="177"/>
      <c r="Z305" s="177"/>
      <c r="AA305" s="177"/>
      <c r="AB305" s="177"/>
      <c r="AC305" s="177"/>
    </row>
    <row r="306">
      <c r="A306" s="177"/>
      <c r="B306" s="177"/>
      <c r="C306" s="177"/>
      <c r="D306" s="177"/>
      <c r="E306" s="177"/>
      <c r="F306" s="177"/>
      <c r="G306" s="177"/>
      <c r="H306" s="177"/>
      <c r="I306" s="177"/>
      <c r="J306" s="177"/>
      <c r="K306" s="177"/>
      <c r="L306" s="177"/>
      <c r="M306" s="177"/>
      <c r="N306" s="177"/>
      <c r="O306" s="177"/>
      <c r="P306" s="177"/>
      <c r="Q306" s="177"/>
      <c r="R306" s="177"/>
      <c r="S306" s="177"/>
      <c r="T306" s="177"/>
      <c r="U306" s="177"/>
      <c r="V306" s="177"/>
      <c r="W306" s="177"/>
      <c r="X306" s="177"/>
      <c r="Y306" s="177"/>
      <c r="Z306" s="177"/>
      <c r="AA306" s="177"/>
      <c r="AB306" s="177"/>
      <c r="AC306" s="177"/>
    </row>
    <row r="307">
      <c r="A307" s="177"/>
      <c r="B307" s="177"/>
      <c r="C307" s="177"/>
      <c r="D307" s="177"/>
      <c r="E307" s="177"/>
      <c r="F307" s="177"/>
      <c r="G307" s="177"/>
      <c r="H307" s="177"/>
      <c r="I307" s="177"/>
      <c r="J307" s="177"/>
      <c r="K307" s="177"/>
      <c r="L307" s="177"/>
      <c r="M307" s="177"/>
      <c r="N307" s="177"/>
      <c r="O307" s="177"/>
      <c r="P307" s="177"/>
      <c r="Q307" s="177"/>
      <c r="R307" s="177"/>
      <c r="S307" s="177"/>
      <c r="T307" s="177"/>
      <c r="U307" s="177"/>
      <c r="V307" s="177"/>
      <c r="W307" s="177"/>
      <c r="X307" s="177"/>
      <c r="Y307" s="177"/>
      <c r="Z307" s="177"/>
      <c r="AA307" s="177"/>
      <c r="AB307" s="177"/>
      <c r="AC307" s="177"/>
    </row>
    <row r="308">
      <c r="A308" s="177"/>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row>
    <row r="309">
      <c r="A309" s="177"/>
      <c r="B309" s="177"/>
      <c r="C309" s="177"/>
      <c r="D309" s="177"/>
      <c r="E309" s="177"/>
      <c r="F309" s="177"/>
      <c r="G309" s="177"/>
      <c r="H309" s="177"/>
      <c r="I309" s="177"/>
      <c r="J309" s="177"/>
      <c r="K309" s="177"/>
      <c r="L309" s="177"/>
      <c r="M309" s="177"/>
      <c r="N309" s="177"/>
      <c r="O309" s="177"/>
      <c r="P309" s="177"/>
      <c r="Q309" s="177"/>
      <c r="R309" s="177"/>
      <c r="S309" s="177"/>
      <c r="T309" s="177"/>
      <c r="U309" s="177"/>
      <c r="V309" s="177"/>
      <c r="W309" s="177"/>
      <c r="X309" s="177"/>
      <c r="Y309" s="177"/>
      <c r="Z309" s="177"/>
      <c r="AA309" s="177"/>
      <c r="AB309" s="177"/>
      <c r="AC309" s="177"/>
    </row>
    <row r="310">
      <c r="A310" s="177"/>
      <c r="B310" s="177"/>
      <c r="C310" s="177"/>
      <c r="D310" s="177"/>
      <c r="E310" s="177"/>
      <c r="F310" s="177"/>
      <c r="G310" s="177"/>
      <c r="H310" s="177"/>
      <c r="I310" s="177"/>
      <c r="J310" s="177"/>
      <c r="K310" s="177"/>
      <c r="L310" s="177"/>
      <c r="M310" s="177"/>
      <c r="N310" s="177"/>
      <c r="O310" s="177"/>
      <c r="P310" s="177"/>
      <c r="Q310" s="177"/>
      <c r="R310" s="177"/>
      <c r="S310" s="177"/>
      <c r="T310" s="177"/>
      <c r="U310" s="177"/>
      <c r="V310" s="177"/>
      <c r="W310" s="177"/>
      <c r="X310" s="177"/>
      <c r="Y310" s="177"/>
      <c r="Z310" s="177"/>
      <c r="AA310" s="177"/>
      <c r="AB310" s="177"/>
      <c r="AC310" s="177"/>
    </row>
    <row r="311">
      <c r="A311" s="177"/>
      <c r="B311" s="177"/>
      <c r="C311" s="177"/>
      <c r="D311" s="177"/>
      <c r="E311" s="177"/>
      <c r="F311" s="177"/>
      <c r="G311" s="177"/>
      <c r="H311" s="177"/>
      <c r="I311" s="177"/>
      <c r="J311" s="177"/>
      <c r="K311" s="177"/>
      <c r="L311" s="177"/>
      <c r="M311" s="177"/>
      <c r="N311" s="177"/>
      <c r="O311" s="177"/>
      <c r="P311" s="177"/>
      <c r="Q311" s="177"/>
      <c r="R311" s="177"/>
      <c r="S311" s="177"/>
      <c r="T311" s="177"/>
      <c r="U311" s="177"/>
      <c r="V311" s="177"/>
      <c r="W311" s="177"/>
      <c r="X311" s="177"/>
      <c r="Y311" s="177"/>
      <c r="Z311" s="177"/>
      <c r="AA311" s="177"/>
      <c r="AB311" s="177"/>
      <c r="AC311" s="177"/>
    </row>
    <row r="312">
      <c r="A312" s="177"/>
      <c r="B312" s="177"/>
      <c r="C312" s="177"/>
      <c r="D312" s="177"/>
      <c r="E312" s="177"/>
      <c r="F312" s="177"/>
      <c r="G312" s="177"/>
      <c r="H312" s="177"/>
      <c r="I312" s="177"/>
      <c r="J312" s="177"/>
      <c r="K312" s="177"/>
      <c r="L312" s="177"/>
      <c r="M312" s="177"/>
      <c r="N312" s="177"/>
      <c r="O312" s="177"/>
      <c r="P312" s="177"/>
      <c r="Q312" s="177"/>
      <c r="R312" s="177"/>
      <c r="S312" s="177"/>
      <c r="T312" s="177"/>
      <c r="U312" s="177"/>
      <c r="V312" s="177"/>
      <c r="W312" s="177"/>
      <c r="X312" s="177"/>
      <c r="Y312" s="177"/>
      <c r="Z312" s="177"/>
      <c r="AA312" s="177"/>
      <c r="AB312" s="177"/>
      <c r="AC312" s="177"/>
    </row>
    <row r="313">
      <c r="A313" s="177"/>
      <c r="B313" s="177"/>
      <c r="C313" s="177"/>
      <c r="D313" s="177"/>
      <c r="E313" s="177"/>
      <c r="F313" s="177"/>
      <c r="G313" s="177"/>
      <c r="H313" s="177"/>
      <c r="I313" s="177"/>
      <c r="J313" s="177"/>
      <c r="K313" s="177"/>
      <c r="L313" s="177"/>
      <c r="M313" s="177"/>
      <c r="N313" s="177"/>
      <c r="O313" s="177"/>
      <c r="P313" s="177"/>
      <c r="Q313" s="177"/>
      <c r="R313" s="177"/>
      <c r="S313" s="177"/>
      <c r="T313" s="177"/>
      <c r="U313" s="177"/>
      <c r="V313" s="177"/>
      <c r="W313" s="177"/>
      <c r="X313" s="177"/>
      <c r="Y313" s="177"/>
      <c r="Z313" s="177"/>
      <c r="AA313" s="177"/>
      <c r="AB313" s="177"/>
      <c r="AC313" s="177"/>
    </row>
    <row r="314">
      <c r="A314" s="177"/>
      <c r="B314" s="177"/>
      <c r="C314" s="177"/>
      <c r="D314" s="177"/>
      <c r="E314" s="177"/>
      <c r="F314" s="177"/>
      <c r="G314" s="177"/>
      <c r="H314" s="177"/>
      <c r="I314" s="177"/>
      <c r="J314" s="177"/>
      <c r="K314" s="177"/>
      <c r="L314" s="177"/>
      <c r="M314" s="177"/>
      <c r="N314" s="177"/>
      <c r="O314" s="177"/>
      <c r="P314" s="177"/>
      <c r="Q314" s="177"/>
      <c r="R314" s="177"/>
      <c r="S314" s="177"/>
      <c r="T314" s="177"/>
      <c r="U314" s="177"/>
      <c r="V314" s="177"/>
      <c r="W314" s="177"/>
      <c r="X314" s="177"/>
      <c r="Y314" s="177"/>
      <c r="Z314" s="177"/>
      <c r="AA314" s="177"/>
      <c r="AB314" s="177"/>
      <c r="AC314" s="177"/>
    </row>
    <row r="315">
      <c r="A315" s="177"/>
      <c r="B315" s="177"/>
      <c r="C315" s="177"/>
      <c r="D315" s="177"/>
      <c r="E315" s="177"/>
      <c r="F315" s="177"/>
      <c r="G315" s="177"/>
      <c r="H315" s="177"/>
      <c r="I315" s="177"/>
      <c r="J315" s="177"/>
      <c r="K315" s="177"/>
      <c r="L315" s="177"/>
      <c r="M315" s="177"/>
      <c r="N315" s="177"/>
      <c r="O315" s="177"/>
      <c r="P315" s="177"/>
      <c r="Q315" s="177"/>
      <c r="R315" s="177"/>
      <c r="S315" s="177"/>
      <c r="T315" s="177"/>
      <c r="U315" s="177"/>
      <c r="V315" s="177"/>
      <c r="W315" s="177"/>
      <c r="X315" s="177"/>
      <c r="Y315" s="177"/>
      <c r="Z315" s="177"/>
      <c r="AA315" s="177"/>
      <c r="AB315" s="177"/>
      <c r="AC315" s="177"/>
    </row>
    <row r="316">
      <c r="A316" s="177"/>
      <c r="B316" s="177"/>
      <c r="C316" s="177"/>
      <c r="D316" s="177"/>
      <c r="E316" s="177"/>
      <c r="F316" s="177"/>
      <c r="G316" s="177"/>
      <c r="H316" s="177"/>
      <c r="I316" s="177"/>
      <c r="J316" s="177"/>
      <c r="K316" s="177"/>
      <c r="L316" s="177"/>
      <c r="M316" s="177"/>
      <c r="N316" s="177"/>
      <c r="O316" s="177"/>
      <c r="P316" s="177"/>
      <c r="Q316" s="177"/>
      <c r="R316" s="177"/>
      <c r="S316" s="177"/>
      <c r="T316" s="177"/>
      <c r="U316" s="177"/>
      <c r="V316" s="177"/>
      <c r="W316" s="177"/>
      <c r="X316" s="177"/>
      <c r="Y316" s="177"/>
      <c r="Z316" s="177"/>
      <c r="AA316" s="177"/>
      <c r="AB316" s="177"/>
      <c r="AC316" s="177"/>
    </row>
    <row r="317">
      <c r="A317" s="177"/>
      <c r="B317" s="177"/>
      <c r="C317" s="177"/>
      <c r="D317" s="177"/>
      <c r="E317" s="177"/>
      <c r="F317" s="177"/>
      <c r="G317" s="177"/>
      <c r="H317" s="177"/>
      <c r="I317" s="177"/>
      <c r="J317" s="177"/>
      <c r="K317" s="177"/>
      <c r="L317" s="177"/>
      <c r="M317" s="177"/>
      <c r="N317" s="177"/>
      <c r="O317" s="177"/>
      <c r="P317" s="177"/>
      <c r="Q317" s="177"/>
      <c r="R317" s="177"/>
      <c r="S317" s="177"/>
      <c r="T317" s="177"/>
      <c r="U317" s="177"/>
      <c r="V317" s="177"/>
      <c r="W317" s="177"/>
      <c r="X317" s="177"/>
      <c r="Y317" s="177"/>
      <c r="Z317" s="177"/>
      <c r="AA317" s="177"/>
      <c r="AB317" s="177"/>
      <c r="AC317" s="177"/>
    </row>
    <row r="318">
      <c r="A318" s="177"/>
      <c r="B318" s="177"/>
      <c r="C318" s="177"/>
      <c r="D318" s="177"/>
      <c r="E318" s="177"/>
      <c r="F318" s="177"/>
      <c r="G318" s="177"/>
      <c r="H318" s="177"/>
      <c r="I318" s="177"/>
      <c r="J318" s="177"/>
      <c r="K318" s="177"/>
      <c r="L318" s="177"/>
      <c r="M318" s="177"/>
      <c r="N318" s="177"/>
      <c r="O318" s="177"/>
      <c r="P318" s="177"/>
      <c r="Q318" s="177"/>
      <c r="R318" s="177"/>
      <c r="S318" s="177"/>
      <c r="T318" s="177"/>
      <c r="U318" s="177"/>
      <c r="V318" s="177"/>
      <c r="W318" s="177"/>
      <c r="X318" s="177"/>
      <c r="Y318" s="177"/>
      <c r="Z318" s="177"/>
      <c r="AA318" s="177"/>
      <c r="AB318" s="177"/>
      <c r="AC318" s="177"/>
    </row>
    <row r="319">
      <c r="A319" s="177"/>
      <c r="B319" s="177"/>
      <c r="C319" s="177"/>
      <c r="D319" s="177"/>
      <c r="E319" s="177"/>
      <c r="F319" s="177"/>
      <c r="G319" s="177"/>
      <c r="H319" s="177"/>
      <c r="I319" s="177"/>
      <c r="J319" s="177"/>
      <c r="K319" s="177"/>
      <c r="L319" s="177"/>
      <c r="M319" s="177"/>
      <c r="N319" s="177"/>
      <c r="O319" s="177"/>
      <c r="P319" s="177"/>
      <c r="Q319" s="177"/>
      <c r="R319" s="177"/>
      <c r="S319" s="177"/>
      <c r="T319" s="177"/>
      <c r="U319" s="177"/>
      <c r="V319" s="177"/>
      <c r="W319" s="177"/>
      <c r="X319" s="177"/>
      <c r="Y319" s="177"/>
      <c r="Z319" s="177"/>
      <c r="AA319" s="177"/>
      <c r="AB319" s="177"/>
      <c r="AC319" s="177"/>
    </row>
    <row r="320">
      <c r="A320" s="177"/>
      <c r="B320" s="177"/>
      <c r="C320" s="177"/>
      <c r="D320" s="177"/>
      <c r="E320" s="177"/>
      <c r="F320" s="177"/>
      <c r="G320" s="177"/>
      <c r="H320" s="177"/>
      <c r="I320" s="177"/>
      <c r="J320" s="177"/>
      <c r="K320" s="177"/>
      <c r="L320" s="177"/>
      <c r="M320" s="177"/>
      <c r="N320" s="177"/>
      <c r="O320" s="177"/>
      <c r="P320" s="177"/>
      <c r="Q320" s="177"/>
      <c r="R320" s="177"/>
      <c r="S320" s="177"/>
      <c r="T320" s="177"/>
      <c r="U320" s="177"/>
      <c r="V320" s="177"/>
      <c r="W320" s="177"/>
      <c r="X320" s="177"/>
      <c r="Y320" s="177"/>
      <c r="Z320" s="177"/>
      <c r="AA320" s="177"/>
      <c r="AB320" s="177"/>
      <c r="AC320" s="177"/>
    </row>
    <row r="321">
      <c r="A321" s="177"/>
      <c r="B321" s="177"/>
      <c r="C321" s="177"/>
      <c r="D321" s="177"/>
      <c r="E321" s="177"/>
      <c r="F321" s="177"/>
      <c r="G321" s="177"/>
      <c r="H321" s="177"/>
      <c r="I321" s="177"/>
      <c r="J321" s="177"/>
      <c r="K321" s="177"/>
      <c r="L321" s="177"/>
      <c r="M321" s="177"/>
      <c r="N321" s="177"/>
      <c r="O321" s="177"/>
      <c r="P321" s="177"/>
      <c r="Q321" s="177"/>
      <c r="R321" s="177"/>
      <c r="S321" s="177"/>
      <c r="T321" s="177"/>
      <c r="U321" s="177"/>
      <c r="V321" s="177"/>
      <c r="W321" s="177"/>
      <c r="X321" s="177"/>
      <c r="Y321" s="177"/>
      <c r="Z321" s="177"/>
      <c r="AA321" s="177"/>
      <c r="AB321" s="177"/>
      <c r="AC321" s="177"/>
    </row>
    <row r="322">
      <c r="A322" s="177"/>
      <c r="B322" s="177"/>
      <c r="C322" s="177"/>
      <c r="D322" s="177"/>
      <c r="E322" s="177"/>
      <c r="F322" s="177"/>
      <c r="G322" s="177"/>
      <c r="H322" s="177"/>
      <c r="I322" s="177"/>
      <c r="J322" s="177"/>
      <c r="K322" s="177"/>
      <c r="L322" s="177"/>
      <c r="M322" s="177"/>
      <c r="N322" s="177"/>
      <c r="O322" s="177"/>
      <c r="P322" s="177"/>
      <c r="Q322" s="177"/>
      <c r="R322" s="177"/>
      <c r="S322" s="177"/>
      <c r="T322" s="177"/>
      <c r="U322" s="177"/>
      <c r="V322" s="177"/>
      <c r="W322" s="177"/>
      <c r="X322" s="177"/>
      <c r="Y322" s="177"/>
      <c r="Z322" s="177"/>
      <c r="AA322" s="177"/>
      <c r="AB322" s="177"/>
      <c r="AC322" s="177"/>
    </row>
    <row r="323">
      <c r="A323" s="177"/>
      <c r="B323" s="177"/>
      <c r="C323" s="177"/>
      <c r="D323" s="177"/>
      <c r="E323" s="177"/>
      <c r="F323" s="177"/>
      <c r="G323" s="177"/>
      <c r="H323" s="177"/>
      <c r="I323" s="177"/>
      <c r="J323" s="177"/>
      <c r="K323" s="177"/>
      <c r="L323" s="177"/>
      <c r="M323" s="177"/>
      <c r="N323" s="177"/>
      <c r="O323" s="177"/>
      <c r="P323" s="177"/>
      <c r="Q323" s="177"/>
      <c r="R323" s="177"/>
      <c r="S323" s="177"/>
      <c r="T323" s="177"/>
      <c r="U323" s="177"/>
      <c r="V323" s="177"/>
      <c r="W323" s="177"/>
      <c r="X323" s="177"/>
      <c r="Y323" s="177"/>
      <c r="Z323" s="177"/>
      <c r="AA323" s="177"/>
      <c r="AB323" s="177"/>
      <c r="AC323" s="177"/>
    </row>
    <row r="324">
      <c r="A324" s="177"/>
      <c r="B324" s="177"/>
      <c r="C324" s="177"/>
      <c r="D324" s="177"/>
      <c r="E324" s="177"/>
      <c r="F324" s="177"/>
      <c r="G324" s="177"/>
      <c r="H324" s="177"/>
      <c r="I324" s="177"/>
      <c r="J324" s="177"/>
      <c r="K324" s="177"/>
      <c r="L324" s="177"/>
      <c r="M324" s="177"/>
      <c r="N324" s="177"/>
      <c r="O324" s="177"/>
      <c r="P324" s="177"/>
      <c r="Q324" s="177"/>
      <c r="R324" s="177"/>
      <c r="S324" s="177"/>
      <c r="T324" s="177"/>
      <c r="U324" s="177"/>
      <c r="V324" s="177"/>
      <c r="W324" s="177"/>
      <c r="X324" s="177"/>
      <c r="Y324" s="177"/>
      <c r="Z324" s="177"/>
      <c r="AA324" s="177"/>
      <c r="AB324" s="177"/>
      <c r="AC324" s="177"/>
    </row>
    <row r="325">
      <c r="A325" s="177"/>
      <c r="B325" s="177"/>
      <c r="C325" s="177"/>
      <c r="D325" s="177"/>
      <c r="E325" s="177"/>
      <c r="F325" s="177"/>
      <c r="G325" s="177"/>
      <c r="H325" s="177"/>
      <c r="I325" s="177"/>
      <c r="J325" s="177"/>
      <c r="K325" s="177"/>
      <c r="L325" s="177"/>
      <c r="M325" s="177"/>
      <c r="N325" s="177"/>
      <c r="O325" s="177"/>
      <c r="P325" s="177"/>
      <c r="Q325" s="177"/>
      <c r="R325" s="177"/>
      <c r="S325" s="177"/>
      <c r="T325" s="177"/>
      <c r="U325" s="177"/>
      <c r="V325" s="177"/>
      <c r="W325" s="177"/>
      <c r="X325" s="177"/>
      <c r="Y325" s="177"/>
      <c r="Z325" s="177"/>
      <c r="AA325" s="177"/>
      <c r="AB325" s="177"/>
      <c r="AC325" s="177"/>
    </row>
    <row r="326">
      <c r="A326" s="177"/>
      <c r="B326" s="177"/>
      <c r="C326" s="177"/>
      <c r="D326" s="177"/>
      <c r="E326" s="177"/>
      <c r="F326" s="177"/>
      <c r="G326" s="177"/>
      <c r="H326" s="177"/>
      <c r="I326" s="177"/>
      <c r="J326" s="177"/>
      <c r="K326" s="177"/>
      <c r="L326" s="177"/>
      <c r="M326" s="177"/>
      <c r="N326" s="177"/>
      <c r="O326" s="177"/>
      <c r="P326" s="177"/>
      <c r="Q326" s="177"/>
      <c r="R326" s="177"/>
      <c r="S326" s="177"/>
      <c r="T326" s="177"/>
      <c r="U326" s="177"/>
      <c r="V326" s="177"/>
      <c r="W326" s="177"/>
      <c r="X326" s="177"/>
      <c r="Y326" s="177"/>
      <c r="Z326" s="177"/>
      <c r="AA326" s="177"/>
      <c r="AB326" s="177"/>
      <c r="AC326" s="177"/>
    </row>
    <row r="327">
      <c r="A327" s="177"/>
      <c r="B327" s="177"/>
      <c r="C327" s="177"/>
      <c r="D327" s="177"/>
      <c r="E327" s="177"/>
      <c r="F327" s="177"/>
      <c r="G327" s="177"/>
      <c r="H327" s="177"/>
      <c r="I327" s="177"/>
      <c r="J327" s="177"/>
      <c r="K327" s="177"/>
      <c r="L327" s="177"/>
      <c r="M327" s="177"/>
      <c r="N327" s="177"/>
      <c r="O327" s="177"/>
      <c r="P327" s="177"/>
      <c r="Q327" s="177"/>
      <c r="R327" s="177"/>
      <c r="S327" s="177"/>
      <c r="T327" s="177"/>
      <c r="U327" s="177"/>
      <c r="V327" s="177"/>
      <c r="W327" s="177"/>
      <c r="X327" s="177"/>
      <c r="Y327" s="177"/>
      <c r="Z327" s="177"/>
      <c r="AA327" s="177"/>
      <c r="AB327" s="177"/>
      <c r="AC327" s="177"/>
    </row>
    <row r="328">
      <c r="A328" s="177"/>
      <c r="B328" s="177"/>
      <c r="C328" s="177"/>
      <c r="D328" s="177"/>
      <c r="E328" s="177"/>
      <c r="F328" s="177"/>
      <c r="G328" s="177"/>
      <c r="H328" s="177"/>
      <c r="I328" s="177"/>
      <c r="J328" s="177"/>
      <c r="K328" s="177"/>
      <c r="L328" s="177"/>
      <c r="M328" s="177"/>
      <c r="N328" s="177"/>
      <c r="O328" s="177"/>
      <c r="P328" s="177"/>
      <c r="Q328" s="177"/>
      <c r="R328" s="177"/>
      <c r="S328" s="177"/>
      <c r="T328" s="177"/>
      <c r="U328" s="177"/>
      <c r="V328" s="177"/>
      <c r="W328" s="177"/>
      <c r="X328" s="177"/>
      <c r="Y328" s="177"/>
      <c r="Z328" s="177"/>
      <c r="AA328" s="177"/>
      <c r="AB328" s="177"/>
      <c r="AC328" s="177"/>
    </row>
    <row r="329">
      <c r="A329" s="177"/>
      <c r="B329" s="177"/>
      <c r="C329" s="177"/>
      <c r="D329" s="177"/>
      <c r="E329" s="177"/>
      <c r="F329" s="177"/>
      <c r="G329" s="177"/>
      <c r="H329" s="177"/>
      <c r="I329" s="177"/>
      <c r="J329" s="177"/>
      <c r="K329" s="177"/>
      <c r="L329" s="177"/>
      <c r="M329" s="177"/>
      <c r="N329" s="177"/>
      <c r="O329" s="177"/>
      <c r="P329" s="177"/>
      <c r="Q329" s="177"/>
      <c r="R329" s="177"/>
      <c r="S329" s="177"/>
      <c r="T329" s="177"/>
      <c r="U329" s="177"/>
      <c r="V329" s="177"/>
      <c r="W329" s="177"/>
      <c r="X329" s="177"/>
      <c r="Y329" s="177"/>
      <c r="Z329" s="177"/>
      <c r="AA329" s="177"/>
      <c r="AB329" s="177"/>
      <c r="AC329" s="177"/>
    </row>
    <row r="330">
      <c r="A330" s="177"/>
      <c r="B330" s="177"/>
      <c r="C330" s="177"/>
      <c r="D330" s="177"/>
      <c r="E330" s="177"/>
      <c r="F330" s="177"/>
      <c r="G330" s="177"/>
      <c r="H330" s="177"/>
      <c r="I330" s="177"/>
      <c r="J330" s="177"/>
      <c r="K330" s="177"/>
      <c r="L330" s="177"/>
      <c r="M330" s="177"/>
      <c r="N330" s="177"/>
      <c r="O330" s="177"/>
      <c r="P330" s="177"/>
      <c r="Q330" s="177"/>
      <c r="R330" s="177"/>
      <c r="S330" s="177"/>
      <c r="T330" s="177"/>
      <c r="U330" s="177"/>
      <c r="V330" s="177"/>
      <c r="W330" s="177"/>
      <c r="X330" s="177"/>
      <c r="Y330" s="177"/>
      <c r="Z330" s="177"/>
      <c r="AA330" s="177"/>
      <c r="AB330" s="177"/>
      <c r="AC330" s="177"/>
    </row>
    <row r="331">
      <c r="A331" s="177"/>
      <c r="B331" s="177"/>
      <c r="C331" s="177"/>
      <c r="D331" s="177"/>
      <c r="E331" s="177"/>
      <c r="F331" s="177"/>
      <c r="G331" s="177"/>
      <c r="H331" s="177"/>
      <c r="I331" s="177"/>
      <c r="J331" s="177"/>
      <c r="K331" s="177"/>
      <c r="L331" s="177"/>
      <c r="M331" s="177"/>
      <c r="N331" s="177"/>
      <c r="O331" s="177"/>
      <c r="P331" s="177"/>
      <c r="Q331" s="177"/>
      <c r="R331" s="177"/>
      <c r="S331" s="177"/>
      <c r="T331" s="177"/>
      <c r="U331" s="177"/>
      <c r="V331" s="177"/>
      <c r="W331" s="177"/>
      <c r="X331" s="177"/>
      <c r="Y331" s="177"/>
      <c r="Z331" s="177"/>
      <c r="AA331" s="177"/>
      <c r="AB331" s="177"/>
      <c r="AC331" s="177"/>
    </row>
    <row r="332">
      <c r="A332" s="177"/>
      <c r="B332" s="177"/>
      <c r="C332" s="177"/>
      <c r="D332" s="177"/>
      <c r="E332" s="177"/>
      <c r="F332" s="177"/>
      <c r="G332" s="177"/>
      <c r="H332" s="177"/>
      <c r="I332" s="177"/>
      <c r="J332" s="177"/>
      <c r="K332" s="177"/>
      <c r="L332" s="177"/>
      <c r="M332" s="177"/>
      <c r="N332" s="177"/>
      <c r="O332" s="177"/>
      <c r="P332" s="177"/>
      <c r="Q332" s="177"/>
      <c r="R332" s="177"/>
      <c r="S332" s="177"/>
      <c r="T332" s="177"/>
      <c r="U332" s="177"/>
      <c r="V332" s="177"/>
      <c r="W332" s="177"/>
      <c r="X332" s="177"/>
      <c r="Y332" s="177"/>
      <c r="Z332" s="177"/>
      <c r="AA332" s="177"/>
      <c r="AB332" s="177"/>
      <c r="AC332" s="177"/>
    </row>
    <row r="333">
      <c r="A333" s="177"/>
      <c r="B333" s="177"/>
      <c r="C333" s="177"/>
      <c r="D333" s="177"/>
      <c r="E333" s="177"/>
      <c r="F333" s="177"/>
      <c r="G333" s="177"/>
      <c r="H333" s="177"/>
      <c r="I333" s="177"/>
      <c r="J333" s="177"/>
      <c r="K333" s="177"/>
      <c r="L333" s="177"/>
      <c r="M333" s="177"/>
      <c r="N333" s="177"/>
      <c r="O333" s="177"/>
      <c r="P333" s="177"/>
      <c r="Q333" s="177"/>
      <c r="R333" s="177"/>
      <c r="S333" s="177"/>
      <c r="T333" s="177"/>
      <c r="U333" s="177"/>
      <c r="V333" s="177"/>
      <c r="W333" s="177"/>
      <c r="X333" s="177"/>
      <c r="Y333" s="177"/>
      <c r="Z333" s="177"/>
      <c r="AA333" s="177"/>
      <c r="AB333" s="177"/>
      <c r="AC333" s="177"/>
    </row>
    <row r="334">
      <c r="A334" s="177"/>
      <c r="B334" s="177"/>
      <c r="C334" s="177"/>
      <c r="D334" s="177"/>
      <c r="E334" s="177"/>
      <c r="F334" s="177"/>
      <c r="G334" s="177"/>
      <c r="H334" s="177"/>
      <c r="I334" s="177"/>
      <c r="J334" s="177"/>
      <c r="K334" s="177"/>
      <c r="L334" s="177"/>
      <c r="M334" s="177"/>
      <c r="N334" s="177"/>
      <c r="O334" s="177"/>
      <c r="P334" s="177"/>
      <c r="Q334" s="177"/>
      <c r="R334" s="177"/>
      <c r="S334" s="177"/>
      <c r="T334" s="177"/>
      <c r="U334" s="177"/>
      <c r="V334" s="177"/>
      <c r="W334" s="177"/>
      <c r="X334" s="177"/>
      <c r="Y334" s="177"/>
      <c r="Z334" s="177"/>
      <c r="AA334" s="177"/>
      <c r="AB334" s="177"/>
      <c r="AC334" s="177"/>
    </row>
    <row r="335">
      <c r="A335" s="177"/>
      <c r="B335" s="177"/>
      <c r="C335" s="177"/>
      <c r="D335" s="177"/>
      <c r="E335" s="177"/>
      <c r="F335" s="177"/>
      <c r="G335" s="177"/>
      <c r="H335" s="177"/>
      <c r="I335" s="177"/>
      <c r="J335" s="177"/>
      <c r="K335" s="177"/>
      <c r="L335" s="177"/>
      <c r="M335" s="177"/>
      <c r="N335" s="177"/>
      <c r="O335" s="177"/>
      <c r="P335" s="177"/>
      <c r="Q335" s="177"/>
      <c r="R335" s="177"/>
      <c r="S335" s="177"/>
      <c r="T335" s="177"/>
      <c r="U335" s="177"/>
      <c r="V335" s="177"/>
      <c r="W335" s="177"/>
      <c r="X335" s="177"/>
      <c r="Y335" s="177"/>
      <c r="Z335" s="177"/>
      <c r="AA335" s="177"/>
      <c r="AB335" s="177"/>
      <c r="AC335" s="177"/>
    </row>
    <row r="336">
      <c r="A336" s="177"/>
      <c r="B336" s="177"/>
      <c r="C336" s="177"/>
      <c r="D336" s="177"/>
      <c r="E336" s="177"/>
      <c r="F336" s="177"/>
      <c r="G336" s="177"/>
      <c r="H336" s="177"/>
      <c r="I336" s="177"/>
      <c r="J336" s="177"/>
      <c r="K336" s="177"/>
      <c r="L336" s="177"/>
      <c r="M336" s="177"/>
      <c r="N336" s="177"/>
      <c r="O336" s="177"/>
      <c r="P336" s="177"/>
      <c r="Q336" s="177"/>
      <c r="R336" s="177"/>
      <c r="S336" s="177"/>
      <c r="T336" s="177"/>
      <c r="U336" s="177"/>
      <c r="V336" s="177"/>
      <c r="W336" s="177"/>
      <c r="X336" s="177"/>
      <c r="Y336" s="177"/>
      <c r="Z336" s="177"/>
      <c r="AA336" s="177"/>
      <c r="AB336" s="177"/>
      <c r="AC336" s="177"/>
    </row>
    <row r="337">
      <c r="A337" s="177"/>
      <c r="B337" s="177"/>
      <c r="C337" s="177"/>
      <c r="D337" s="177"/>
      <c r="E337" s="177"/>
      <c r="F337" s="177"/>
      <c r="G337" s="177"/>
      <c r="H337" s="177"/>
      <c r="I337" s="177"/>
      <c r="J337" s="177"/>
      <c r="K337" s="177"/>
      <c r="L337" s="177"/>
      <c r="M337" s="177"/>
      <c r="N337" s="177"/>
      <c r="O337" s="177"/>
      <c r="P337" s="177"/>
      <c r="Q337" s="177"/>
      <c r="R337" s="177"/>
      <c r="S337" s="177"/>
      <c r="T337" s="177"/>
      <c r="U337" s="177"/>
      <c r="V337" s="177"/>
      <c r="W337" s="177"/>
      <c r="X337" s="177"/>
      <c r="Y337" s="177"/>
      <c r="Z337" s="177"/>
      <c r="AA337" s="177"/>
      <c r="AB337" s="177"/>
      <c r="AC337" s="177"/>
    </row>
    <row r="338">
      <c r="A338" s="177"/>
      <c r="B338" s="177"/>
      <c r="C338" s="177"/>
      <c r="D338" s="177"/>
      <c r="E338" s="177"/>
      <c r="F338" s="177"/>
      <c r="G338" s="177"/>
      <c r="H338" s="177"/>
      <c r="I338" s="177"/>
      <c r="J338" s="177"/>
      <c r="K338" s="177"/>
      <c r="L338" s="177"/>
      <c r="M338" s="177"/>
      <c r="N338" s="177"/>
      <c r="O338" s="177"/>
      <c r="P338" s="177"/>
      <c r="Q338" s="177"/>
      <c r="R338" s="177"/>
      <c r="S338" s="177"/>
      <c r="T338" s="177"/>
      <c r="U338" s="177"/>
      <c r="V338" s="177"/>
      <c r="W338" s="177"/>
      <c r="X338" s="177"/>
      <c r="Y338" s="177"/>
      <c r="Z338" s="177"/>
      <c r="AA338" s="177"/>
      <c r="AB338" s="177"/>
      <c r="AC338" s="177"/>
    </row>
    <row r="339">
      <c r="A339" s="177"/>
      <c r="B339" s="177"/>
      <c r="C339" s="177"/>
      <c r="D339" s="177"/>
      <c r="E339" s="177"/>
      <c r="F339" s="177"/>
      <c r="G339" s="177"/>
      <c r="H339" s="177"/>
      <c r="I339" s="177"/>
      <c r="J339" s="177"/>
      <c r="K339" s="177"/>
      <c r="L339" s="177"/>
      <c r="M339" s="177"/>
      <c r="N339" s="177"/>
      <c r="O339" s="177"/>
      <c r="P339" s="177"/>
      <c r="Q339" s="177"/>
      <c r="R339" s="177"/>
      <c r="S339" s="177"/>
      <c r="T339" s="177"/>
      <c r="U339" s="177"/>
      <c r="V339" s="177"/>
      <c r="W339" s="177"/>
      <c r="X339" s="177"/>
      <c r="Y339" s="177"/>
      <c r="Z339" s="177"/>
      <c r="AA339" s="177"/>
      <c r="AB339" s="177"/>
      <c r="AC339" s="177"/>
    </row>
    <row r="340">
      <c r="A340" s="177"/>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row>
    <row r="341">
      <c r="A341" s="177"/>
      <c r="B341" s="177"/>
      <c r="C341" s="177"/>
      <c r="D341" s="177"/>
      <c r="E341" s="177"/>
      <c r="F341" s="177"/>
      <c r="G341" s="177"/>
      <c r="H341" s="177"/>
      <c r="I341" s="177"/>
      <c r="J341" s="177"/>
      <c r="K341" s="177"/>
      <c r="L341" s="177"/>
      <c r="M341" s="177"/>
      <c r="N341" s="177"/>
      <c r="O341" s="177"/>
      <c r="P341" s="177"/>
      <c r="Q341" s="177"/>
      <c r="R341" s="177"/>
      <c r="S341" s="177"/>
      <c r="T341" s="177"/>
      <c r="U341" s="177"/>
      <c r="V341" s="177"/>
      <c r="W341" s="177"/>
      <c r="X341" s="177"/>
      <c r="Y341" s="177"/>
      <c r="Z341" s="177"/>
      <c r="AA341" s="177"/>
      <c r="AB341" s="177"/>
      <c r="AC341" s="177"/>
    </row>
    <row r="342">
      <c r="A342" s="177"/>
      <c r="B342" s="177"/>
      <c r="C342" s="177"/>
      <c r="D342" s="177"/>
      <c r="E342" s="177"/>
      <c r="F342" s="177"/>
      <c r="G342" s="177"/>
      <c r="H342" s="177"/>
      <c r="I342" s="177"/>
      <c r="J342" s="177"/>
      <c r="K342" s="177"/>
      <c r="L342" s="177"/>
      <c r="M342" s="177"/>
      <c r="N342" s="177"/>
      <c r="O342" s="177"/>
      <c r="P342" s="177"/>
      <c r="Q342" s="177"/>
      <c r="R342" s="177"/>
      <c r="S342" s="177"/>
      <c r="T342" s="177"/>
      <c r="U342" s="177"/>
      <c r="V342" s="177"/>
      <c r="W342" s="177"/>
      <c r="X342" s="177"/>
      <c r="Y342" s="177"/>
      <c r="Z342" s="177"/>
      <c r="AA342" s="177"/>
      <c r="AB342" s="177"/>
      <c r="AC342" s="177"/>
    </row>
    <row r="343">
      <c r="A343" s="177"/>
      <c r="B343" s="177"/>
      <c r="C343" s="177"/>
      <c r="D343" s="177"/>
      <c r="E343" s="177"/>
      <c r="F343" s="177"/>
      <c r="G343" s="177"/>
      <c r="H343" s="177"/>
      <c r="I343" s="177"/>
      <c r="J343" s="177"/>
      <c r="K343" s="177"/>
      <c r="L343" s="177"/>
      <c r="M343" s="177"/>
      <c r="N343" s="177"/>
      <c r="O343" s="177"/>
      <c r="P343" s="177"/>
      <c r="Q343" s="177"/>
      <c r="R343" s="177"/>
      <c r="S343" s="177"/>
      <c r="T343" s="177"/>
      <c r="U343" s="177"/>
      <c r="V343" s="177"/>
      <c r="W343" s="177"/>
      <c r="X343" s="177"/>
      <c r="Y343" s="177"/>
      <c r="Z343" s="177"/>
      <c r="AA343" s="177"/>
      <c r="AB343" s="177"/>
      <c r="AC343" s="177"/>
    </row>
    <row r="344">
      <c r="A344" s="177"/>
      <c r="B344" s="177"/>
      <c r="C344" s="177"/>
      <c r="D344" s="177"/>
      <c r="E344" s="177"/>
      <c r="F344" s="177"/>
      <c r="G344" s="177"/>
      <c r="H344" s="177"/>
      <c r="I344" s="177"/>
      <c r="J344" s="177"/>
      <c r="K344" s="177"/>
      <c r="L344" s="177"/>
      <c r="M344" s="177"/>
      <c r="N344" s="177"/>
      <c r="O344" s="177"/>
      <c r="P344" s="177"/>
      <c r="Q344" s="177"/>
      <c r="R344" s="177"/>
      <c r="S344" s="177"/>
      <c r="T344" s="177"/>
      <c r="U344" s="177"/>
      <c r="V344" s="177"/>
      <c r="W344" s="177"/>
      <c r="X344" s="177"/>
      <c r="Y344" s="177"/>
      <c r="Z344" s="177"/>
      <c r="AA344" s="177"/>
      <c r="AB344" s="177"/>
      <c r="AC344" s="177"/>
    </row>
    <row r="345">
      <c r="A345" s="177"/>
      <c r="B345" s="177"/>
      <c r="C345" s="177"/>
      <c r="D345" s="177"/>
      <c r="E345" s="177"/>
      <c r="F345" s="177"/>
      <c r="G345" s="177"/>
      <c r="H345" s="177"/>
      <c r="I345" s="177"/>
      <c r="J345" s="177"/>
      <c r="K345" s="177"/>
      <c r="L345" s="177"/>
      <c r="M345" s="177"/>
      <c r="N345" s="177"/>
      <c r="O345" s="177"/>
      <c r="P345" s="177"/>
      <c r="Q345" s="177"/>
      <c r="R345" s="177"/>
      <c r="S345" s="177"/>
      <c r="T345" s="177"/>
      <c r="U345" s="177"/>
      <c r="V345" s="177"/>
      <c r="W345" s="177"/>
      <c r="X345" s="177"/>
      <c r="Y345" s="177"/>
      <c r="Z345" s="177"/>
      <c r="AA345" s="177"/>
      <c r="AB345" s="177"/>
      <c r="AC345" s="177"/>
    </row>
    <row r="346">
      <c r="A346" s="177"/>
      <c r="B346" s="177"/>
      <c r="C346" s="177"/>
      <c r="D346" s="177"/>
      <c r="E346" s="177"/>
      <c r="F346" s="177"/>
      <c r="G346" s="177"/>
      <c r="H346" s="177"/>
      <c r="I346" s="177"/>
      <c r="J346" s="177"/>
      <c r="K346" s="177"/>
      <c r="L346" s="177"/>
      <c r="M346" s="177"/>
      <c r="N346" s="177"/>
      <c r="O346" s="177"/>
      <c r="P346" s="177"/>
      <c r="Q346" s="177"/>
      <c r="R346" s="177"/>
      <c r="S346" s="177"/>
      <c r="T346" s="177"/>
      <c r="U346" s="177"/>
      <c r="V346" s="177"/>
      <c r="W346" s="177"/>
      <c r="X346" s="177"/>
      <c r="Y346" s="177"/>
      <c r="Z346" s="177"/>
      <c r="AA346" s="177"/>
      <c r="AB346" s="177"/>
      <c r="AC346" s="177"/>
    </row>
    <row r="347">
      <c r="A347" s="177"/>
      <c r="B347" s="177"/>
      <c r="C347" s="177"/>
      <c r="D347" s="177"/>
      <c r="E347" s="177"/>
      <c r="F347" s="177"/>
      <c r="G347" s="177"/>
      <c r="H347" s="177"/>
      <c r="I347" s="177"/>
      <c r="J347" s="177"/>
      <c r="K347" s="177"/>
      <c r="L347" s="177"/>
      <c r="M347" s="177"/>
      <c r="N347" s="177"/>
      <c r="O347" s="177"/>
      <c r="P347" s="177"/>
      <c r="Q347" s="177"/>
      <c r="R347" s="177"/>
      <c r="S347" s="177"/>
      <c r="T347" s="177"/>
      <c r="U347" s="177"/>
      <c r="V347" s="177"/>
      <c r="W347" s="177"/>
      <c r="X347" s="177"/>
      <c r="Y347" s="177"/>
      <c r="Z347" s="177"/>
      <c r="AA347" s="177"/>
      <c r="AB347" s="177"/>
      <c r="AC347" s="177"/>
    </row>
    <row r="348">
      <c r="A348" s="177"/>
      <c r="B348" s="177"/>
      <c r="C348" s="177"/>
      <c r="D348" s="177"/>
      <c r="E348" s="177"/>
      <c r="F348" s="177"/>
      <c r="G348" s="177"/>
      <c r="H348" s="177"/>
      <c r="I348" s="177"/>
      <c r="J348" s="177"/>
      <c r="K348" s="177"/>
      <c r="L348" s="177"/>
      <c r="M348" s="177"/>
      <c r="N348" s="177"/>
      <c r="O348" s="177"/>
      <c r="P348" s="177"/>
      <c r="Q348" s="177"/>
      <c r="R348" s="177"/>
      <c r="S348" s="177"/>
      <c r="T348" s="177"/>
      <c r="U348" s="177"/>
      <c r="V348" s="177"/>
      <c r="W348" s="177"/>
      <c r="X348" s="177"/>
      <c r="Y348" s="177"/>
      <c r="Z348" s="177"/>
      <c r="AA348" s="177"/>
      <c r="AB348" s="177"/>
      <c r="AC348" s="177"/>
    </row>
    <row r="349">
      <c r="A349" s="177"/>
      <c r="B349" s="177"/>
      <c r="C349" s="177"/>
      <c r="D349" s="177"/>
      <c r="E349" s="177"/>
      <c r="F349" s="177"/>
      <c r="G349" s="177"/>
      <c r="H349" s="177"/>
      <c r="I349" s="177"/>
      <c r="J349" s="177"/>
      <c r="K349" s="177"/>
      <c r="L349" s="177"/>
      <c r="M349" s="177"/>
      <c r="N349" s="177"/>
      <c r="O349" s="177"/>
      <c r="P349" s="177"/>
      <c r="Q349" s="177"/>
      <c r="R349" s="177"/>
      <c r="S349" s="177"/>
      <c r="T349" s="177"/>
      <c r="U349" s="177"/>
      <c r="V349" s="177"/>
      <c r="W349" s="177"/>
      <c r="X349" s="177"/>
      <c r="Y349" s="177"/>
      <c r="Z349" s="177"/>
      <c r="AA349" s="177"/>
      <c r="AB349" s="177"/>
      <c r="AC349" s="177"/>
    </row>
    <row r="350">
      <c r="A350" s="177"/>
      <c r="B350" s="177"/>
      <c r="C350" s="177"/>
      <c r="D350" s="177"/>
      <c r="E350" s="177"/>
      <c r="F350" s="177"/>
      <c r="G350" s="177"/>
      <c r="H350" s="177"/>
      <c r="I350" s="177"/>
      <c r="J350" s="177"/>
      <c r="K350" s="177"/>
      <c r="L350" s="177"/>
      <c r="M350" s="177"/>
      <c r="N350" s="177"/>
      <c r="O350" s="177"/>
      <c r="P350" s="177"/>
      <c r="Q350" s="177"/>
      <c r="R350" s="177"/>
      <c r="S350" s="177"/>
      <c r="T350" s="177"/>
      <c r="U350" s="177"/>
      <c r="V350" s="177"/>
      <c r="W350" s="177"/>
      <c r="X350" s="177"/>
      <c r="Y350" s="177"/>
      <c r="Z350" s="177"/>
      <c r="AA350" s="177"/>
      <c r="AB350" s="177"/>
      <c r="AC350" s="177"/>
    </row>
    <row r="351">
      <c r="A351" s="177"/>
      <c r="B351" s="177"/>
      <c r="C351" s="177"/>
      <c r="D351" s="177"/>
      <c r="E351" s="177"/>
      <c r="F351" s="177"/>
      <c r="G351" s="177"/>
      <c r="H351" s="177"/>
      <c r="I351" s="177"/>
      <c r="J351" s="177"/>
      <c r="K351" s="177"/>
      <c r="L351" s="177"/>
      <c r="M351" s="177"/>
      <c r="N351" s="177"/>
      <c r="O351" s="177"/>
      <c r="P351" s="177"/>
      <c r="Q351" s="177"/>
      <c r="R351" s="177"/>
      <c r="S351" s="177"/>
      <c r="T351" s="177"/>
      <c r="U351" s="177"/>
      <c r="V351" s="177"/>
      <c r="W351" s="177"/>
      <c r="X351" s="177"/>
      <c r="Y351" s="177"/>
      <c r="Z351" s="177"/>
      <c r="AA351" s="177"/>
      <c r="AB351" s="177"/>
      <c r="AC351" s="177"/>
    </row>
    <row r="352">
      <c r="A352" s="177"/>
      <c r="B352" s="177"/>
      <c r="C352" s="177"/>
      <c r="D352" s="177"/>
      <c r="E352" s="177"/>
      <c r="F352" s="177"/>
      <c r="G352" s="177"/>
      <c r="H352" s="177"/>
      <c r="I352" s="177"/>
      <c r="J352" s="177"/>
      <c r="K352" s="177"/>
      <c r="L352" s="177"/>
      <c r="M352" s="177"/>
      <c r="N352" s="177"/>
      <c r="O352" s="177"/>
      <c r="P352" s="177"/>
      <c r="Q352" s="177"/>
      <c r="R352" s="177"/>
      <c r="S352" s="177"/>
      <c r="T352" s="177"/>
      <c r="U352" s="177"/>
      <c r="V352" s="177"/>
      <c r="W352" s="177"/>
      <c r="X352" s="177"/>
      <c r="Y352" s="177"/>
      <c r="Z352" s="177"/>
      <c r="AA352" s="177"/>
      <c r="AB352" s="177"/>
      <c r="AC352" s="177"/>
    </row>
    <row r="353">
      <c r="A353" s="177"/>
      <c r="B353" s="177"/>
      <c r="C353" s="177"/>
      <c r="D353" s="177"/>
      <c r="E353" s="177"/>
      <c r="F353" s="177"/>
      <c r="G353" s="177"/>
      <c r="H353" s="177"/>
      <c r="I353" s="177"/>
      <c r="J353" s="177"/>
      <c r="K353" s="177"/>
      <c r="L353" s="177"/>
      <c r="M353" s="177"/>
      <c r="N353" s="177"/>
      <c r="O353" s="177"/>
      <c r="P353" s="177"/>
      <c r="Q353" s="177"/>
      <c r="R353" s="177"/>
      <c r="S353" s="177"/>
      <c r="T353" s="177"/>
      <c r="U353" s="177"/>
      <c r="V353" s="177"/>
      <c r="W353" s="177"/>
      <c r="X353" s="177"/>
      <c r="Y353" s="177"/>
      <c r="Z353" s="177"/>
      <c r="AA353" s="177"/>
      <c r="AB353" s="177"/>
      <c r="AC353" s="177"/>
    </row>
    <row r="354">
      <c r="A354" s="177"/>
      <c r="B354" s="177"/>
      <c r="C354" s="177"/>
      <c r="D354" s="177"/>
      <c r="E354" s="177"/>
      <c r="F354" s="177"/>
      <c r="G354" s="177"/>
      <c r="H354" s="177"/>
      <c r="I354" s="177"/>
      <c r="J354" s="177"/>
      <c r="K354" s="177"/>
      <c r="L354" s="177"/>
      <c r="M354" s="177"/>
      <c r="N354" s="177"/>
      <c r="O354" s="177"/>
      <c r="P354" s="177"/>
      <c r="Q354" s="177"/>
      <c r="R354" s="177"/>
      <c r="S354" s="177"/>
      <c r="T354" s="177"/>
      <c r="U354" s="177"/>
      <c r="V354" s="177"/>
      <c r="W354" s="177"/>
      <c r="X354" s="177"/>
      <c r="Y354" s="177"/>
      <c r="Z354" s="177"/>
      <c r="AA354" s="177"/>
      <c r="AB354" s="177"/>
      <c r="AC354" s="177"/>
    </row>
    <row r="355">
      <c r="A355" s="177"/>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row>
    <row r="356">
      <c r="A356" s="177"/>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row>
    <row r="357">
      <c r="A357" s="177"/>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row>
    <row r="358">
      <c r="A358" s="177"/>
      <c r="B358" s="177"/>
      <c r="C358" s="177"/>
      <c r="D358" s="177"/>
      <c r="E358" s="177"/>
      <c r="F358" s="177"/>
      <c r="G358" s="177"/>
      <c r="H358" s="177"/>
      <c r="I358" s="177"/>
      <c r="J358" s="177"/>
      <c r="K358" s="177"/>
      <c r="L358" s="177"/>
      <c r="M358" s="177"/>
      <c r="N358" s="177"/>
      <c r="O358" s="177"/>
      <c r="P358" s="177"/>
      <c r="Q358" s="177"/>
      <c r="R358" s="177"/>
      <c r="S358" s="177"/>
      <c r="T358" s="177"/>
      <c r="U358" s="177"/>
      <c r="V358" s="177"/>
      <c r="W358" s="177"/>
      <c r="X358" s="177"/>
      <c r="Y358" s="177"/>
      <c r="Z358" s="177"/>
      <c r="AA358" s="177"/>
      <c r="AB358" s="177"/>
      <c r="AC358" s="177"/>
    </row>
    <row r="359">
      <c r="A359" s="177"/>
      <c r="B359" s="177"/>
      <c r="C359" s="177"/>
      <c r="D359" s="177"/>
      <c r="E359" s="177"/>
      <c r="F359" s="177"/>
      <c r="G359" s="177"/>
      <c r="H359" s="177"/>
      <c r="I359" s="177"/>
      <c r="J359" s="177"/>
      <c r="K359" s="177"/>
      <c r="L359" s="177"/>
      <c r="M359" s="177"/>
      <c r="N359" s="177"/>
      <c r="O359" s="177"/>
      <c r="P359" s="177"/>
      <c r="Q359" s="177"/>
      <c r="R359" s="177"/>
      <c r="S359" s="177"/>
      <c r="T359" s="177"/>
      <c r="U359" s="177"/>
      <c r="V359" s="177"/>
      <c r="W359" s="177"/>
      <c r="X359" s="177"/>
      <c r="Y359" s="177"/>
      <c r="Z359" s="177"/>
      <c r="AA359" s="177"/>
      <c r="AB359" s="177"/>
      <c r="AC359" s="177"/>
    </row>
    <row r="360">
      <c r="A360" s="177"/>
      <c r="B360" s="177"/>
      <c r="C360" s="177"/>
      <c r="D360" s="177"/>
      <c r="E360" s="177"/>
      <c r="F360" s="177"/>
      <c r="G360" s="177"/>
      <c r="H360" s="177"/>
      <c r="I360" s="177"/>
      <c r="J360" s="177"/>
      <c r="K360" s="177"/>
      <c r="L360" s="177"/>
      <c r="M360" s="177"/>
      <c r="N360" s="177"/>
      <c r="O360" s="177"/>
      <c r="P360" s="177"/>
      <c r="Q360" s="177"/>
      <c r="R360" s="177"/>
      <c r="S360" s="177"/>
      <c r="T360" s="177"/>
      <c r="U360" s="177"/>
      <c r="V360" s="177"/>
      <c r="W360" s="177"/>
      <c r="X360" s="177"/>
      <c r="Y360" s="177"/>
      <c r="Z360" s="177"/>
      <c r="AA360" s="177"/>
      <c r="AB360" s="177"/>
      <c r="AC360" s="177"/>
    </row>
    <row r="361">
      <c r="A361" s="177"/>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row>
    <row r="362">
      <c r="A362" s="177"/>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row>
    <row r="363">
      <c r="A363" s="177"/>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row>
    <row r="364">
      <c r="A364" s="177"/>
      <c r="B364" s="177"/>
      <c r="C364" s="177"/>
      <c r="D364" s="177"/>
      <c r="E364" s="177"/>
      <c r="F364" s="177"/>
      <c r="G364" s="177"/>
      <c r="H364" s="177"/>
      <c r="I364" s="177"/>
      <c r="J364" s="177"/>
      <c r="K364" s="177"/>
      <c r="L364" s="177"/>
      <c r="M364" s="177"/>
      <c r="N364" s="177"/>
      <c r="O364" s="177"/>
      <c r="P364" s="177"/>
      <c r="Q364" s="177"/>
      <c r="R364" s="177"/>
      <c r="S364" s="177"/>
      <c r="T364" s="177"/>
      <c r="U364" s="177"/>
      <c r="V364" s="177"/>
      <c r="W364" s="177"/>
      <c r="X364" s="177"/>
      <c r="Y364" s="177"/>
      <c r="Z364" s="177"/>
      <c r="AA364" s="177"/>
      <c r="AB364" s="177"/>
      <c r="AC364" s="177"/>
    </row>
    <row r="365">
      <c r="A365" s="177"/>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row>
    <row r="366">
      <c r="A366" s="177"/>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row>
    <row r="367">
      <c r="A367" s="177"/>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row>
    <row r="368">
      <c r="A368" s="177"/>
      <c r="B368" s="177"/>
      <c r="C368" s="177"/>
      <c r="D368" s="177"/>
      <c r="E368" s="177"/>
      <c r="F368" s="177"/>
      <c r="G368" s="177"/>
      <c r="H368" s="177"/>
      <c r="I368" s="177"/>
      <c r="J368" s="177"/>
      <c r="K368" s="177"/>
      <c r="L368" s="177"/>
      <c r="M368" s="177"/>
      <c r="N368" s="177"/>
      <c r="O368" s="177"/>
      <c r="P368" s="177"/>
      <c r="Q368" s="177"/>
      <c r="R368" s="177"/>
      <c r="S368" s="177"/>
      <c r="T368" s="177"/>
      <c r="U368" s="177"/>
      <c r="V368" s="177"/>
      <c r="W368" s="177"/>
      <c r="X368" s="177"/>
      <c r="Y368" s="177"/>
      <c r="Z368" s="177"/>
      <c r="AA368" s="177"/>
      <c r="AB368" s="177"/>
      <c r="AC368" s="177"/>
    </row>
    <row r="369">
      <c r="A369" s="177"/>
      <c r="B369" s="177"/>
      <c r="C369" s="177"/>
      <c r="D369" s="177"/>
      <c r="E369" s="177"/>
      <c r="F369" s="177"/>
      <c r="G369" s="177"/>
      <c r="H369" s="177"/>
      <c r="I369" s="177"/>
      <c r="J369" s="177"/>
      <c r="K369" s="177"/>
      <c r="L369" s="177"/>
      <c r="M369" s="177"/>
      <c r="N369" s="177"/>
      <c r="O369" s="177"/>
      <c r="P369" s="177"/>
      <c r="Q369" s="177"/>
      <c r="R369" s="177"/>
      <c r="S369" s="177"/>
      <c r="T369" s="177"/>
      <c r="U369" s="177"/>
      <c r="V369" s="177"/>
      <c r="W369" s="177"/>
      <c r="X369" s="177"/>
      <c r="Y369" s="177"/>
      <c r="Z369" s="177"/>
      <c r="AA369" s="177"/>
      <c r="AB369" s="177"/>
      <c r="AC369" s="177"/>
    </row>
    <row r="370">
      <c r="A370" s="177"/>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row>
    <row r="371">
      <c r="A371" s="177"/>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row>
    <row r="372">
      <c r="A372" s="177"/>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row>
    <row r="373">
      <c r="A373" s="177"/>
      <c r="B373" s="177"/>
      <c r="C373" s="177"/>
      <c r="D373" s="177"/>
      <c r="E373" s="177"/>
      <c r="F373" s="177"/>
      <c r="G373" s="177"/>
      <c r="H373" s="177"/>
      <c r="I373" s="177"/>
      <c r="J373" s="177"/>
      <c r="K373" s="177"/>
      <c r="L373" s="177"/>
      <c r="M373" s="177"/>
      <c r="N373" s="177"/>
      <c r="O373" s="177"/>
      <c r="P373" s="177"/>
      <c r="Q373" s="177"/>
      <c r="R373" s="177"/>
      <c r="S373" s="177"/>
      <c r="T373" s="177"/>
      <c r="U373" s="177"/>
      <c r="V373" s="177"/>
      <c r="W373" s="177"/>
      <c r="X373" s="177"/>
      <c r="Y373" s="177"/>
      <c r="Z373" s="177"/>
      <c r="AA373" s="177"/>
      <c r="AB373" s="177"/>
      <c r="AC373" s="177"/>
    </row>
    <row r="374">
      <c r="A374" s="177"/>
      <c r="B374" s="177"/>
      <c r="C374" s="177"/>
      <c r="D374" s="177"/>
      <c r="E374" s="177"/>
      <c r="F374" s="177"/>
      <c r="G374" s="177"/>
      <c r="H374" s="177"/>
      <c r="I374" s="177"/>
      <c r="J374" s="177"/>
      <c r="K374" s="177"/>
      <c r="L374" s="177"/>
      <c r="M374" s="177"/>
      <c r="N374" s="177"/>
      <c r="O374" s="177"/>
      <c r="P374" s="177"/>
      <c r="Q374" s="177"/>
      <c r="R374" s="177"/>
      <c r="S374" s="177"/>
      <c r="T374" s="177"/>
      <c r="U374" s="177"/>
      <c r="V374" s="177"/>
      <c r="W374" s="177"/>
      <c r="X374" s="177"/>
      <c r="Y374" s="177"/>
      <c r="Z374" s="177"/>
      <c r="AA374" s="177"/>
      <c r="AB374" s="177"/>
      <c r="AC374" s="177"/>
    </row>
    <row r="375">
      <c r="A375" s="177"/>
      <c r="B375" s="177"/>
      <c r="C375" s="177"/>
      <c r="D375" s="177"/>
      <c r="E375" s="177"/>
      <c r="F375" s="177"/>
      <c r="G375" s="177"/>
      <c r="H375" s="177"/>
      <c r="I375" s="177"/>
      <c r="J375" s="177"/>
      <c r="K375" s="177"/>
      <c r="L375" s="177"/>
      <c r="M375" s="177"/>
      <c r="N375" s="177"/>
      <c r="O375" s="177"/>
      <c r="P375" s="177"/>
      <c r="Q375" s="177"/>
      <c r="R375" s="177"/>
      <c r="S375" s="177"/>
      <c r="T375" s="177"/>
      <c r="U375" s="177"/>
      <c r="V375" s="177"/>
      <c r="W375" s="177"/>
      <c r="X375" s="177"/>
      <c r="Y375" s="177"/>
      <c r="Z375" s="177"/>
      <c r="AA375" s="177"/>
      <c r="AB375" s="177"/>
      <c r="AC375" s="177"/>
    </row>
    <row r="376">
      <c r="A376" s="177"/>
      <c r="B376" s="177"/>
      <c r="C376" s="177"/>
      <c r="D376" s="177"/>
      <c r="E376" s="177"/>
      <c r="F376" s="177"/>
      <c r="G376" s="177"/>
      <c r="H376" s="177"/>
      <c r="I376" s="177"/>
      <c r="J376" s="177"/>
      <c r="K376" s="177"/>
      <c r="L376" s="177"/>
      <c r="M376" s="177"/>
      <c r="N376" s="177"/>
      <c r="O376" s="177"/>
      <c r="P376" s="177"/>
      <c r="Q376" s="177"/>
      <c r="R376" s="177"/>
      <c r="S376" s="177"/>
      <c r="T376" s="177"/>
      <c r="U376" s="177"/>
      <c r="V376" s="177"/>
      <c r="W376" s="177"/>
      <c r="X376" s="177"/>
      <c r="Y376" s="177"/>
      <c r="Z376" s="177"/>
      <c r="AA376" s="177"/>
      <c r="AB376" s="177"/>
      <c r="AC376" s="177"/>
    </row>
    <row r="377">
      <c r="A377" s="177"/>
      <c r="B377" s="177"/>
      <c r="C377" s="177"/>
      <c r="D377" s="177"/>
      <c r="E377" s="177"/>
      <c r="F377" s="177"/>
      <c r="G377" s="177"/>
      <c r="H377" s="177"/>
      <c r="I377" s="177"/>
      <c r="J377" s="177"/>
      <c r="K377" s="177"/>
      <c r="L377" s="177"/>
      <c r="M377" s="177"/>
      <c r="N377" s="177"/>
      <c r="O377" s="177"/>
      <c r="P377" s="177"/>
      <c r="Q377" s="177"/>
      <c r="R377" s="177"/>
      <c r="S377" s="177"/>
      <c r="T377" s="177"/>
      <c r="U377" s="177"/>
      <c r="V377" s="177"/>
      <c r="W377" s="177"/>
      <c r="X377" s="177"/>
      <c r="Y377" s="177"/>
      <c r="Z377" s="177"/>
      <c r="AA377" s="177"/>
      <c r="AB377" s="177"/>
      <c r="AC377" s="177"/>
    </row>
    <row r="378">
      <c r="A378" s="177"/>
      <c r="B378" s="177"/>
      <c r="C378" s="177"/>
      <c r="D378" s="177"/>
      <c r="E378" s="177"/>
      <c r="F378" s="177"/>
      <c r="G378" s="177"/>
      <c r="H378" s="177"/>
      <c r="I378" s="177"/>
      <c r="J378" s="177"/>
      <c r="K378" s="177"/>
      <c r="L378" s="177"/>
      <c r="M378" s="177"/>
      <c r="N378" s="177"/>
      <c r="O378" s="177"/>
      <c r="P378" s="177"/>
      <c r="Q378" s="177"/>
      <c r="R378" s="177"/>
      <c r="S378" s="177"/>
      <c r="T378" s="177"/>
      <c r="U378" s="177"/>
      <c r="V378" s="177"/>
      <c r="W378" s="177"/>
      <c r="X378" s="177"/>
      <c r="Y378" s="177"/>
      <c r="Z378" s="177"/>
      <c r="AA378" s="177"/>
      <c r="AB378" s="177"/>
      <c r="AC378" s="177"/>
    </row>
    <row r="379">
      <c r="A379" s="177"/>
      <c r="B379" s="177"/>
      <c r="C379" s="177"/>
      <c r="D379" s="177"/>
      <c r="E379" s="177"/>
      <c r="F379" s="177"/>
      <c r="G379" s="177"/>
      <c r="H379" s="177"/>
      <c r="I379" s="177"/>
      <c r="J379" s="177"/>
      <c r="K379" s="177"/>
      <c r="L379" s="177"/>
      <c r="M379" s="177"/>
      <c r="N379" s="177"/>
      <c r="O379" s="177"/>
      <c r="P379" s="177"/>
      <c r="Q379" s="177"/>
      <c r="R379" s="177"/>
      <c r="S379" s="177"/>
      <c r="T379" s="177"/>
      <c r="U379" s="177"/>
      <c r="V379" s="177"/>
      <c r="W379" s="177"/>
      <c r="X379" s="177"/>
      <c r="Y379" s="177"/>
      <c r="Z379" s="177"/>
      <c r="AA379" s="177"/>
      <c r="AB379" s="177"/>
      <c r="AC379" s="177"/>
    </row>
    <row r="380">
      <c r="A380" s="177"/>
      <c r="B380" s="177"/>
      <c r="C380" s="177"/>
      <c r="D380" s="177"/>
      <c r="E380" s="177"/>
      <c r="F380" s="177"/>
      <c r="G380" s="177"/>
      <c r="H380" s="177"/>
      <c r="I380" s="177"/>
      <c r="J380" s="177"/>
      <c r="K380" s="177"/>
      <c r="L380" s="177"/>
      <c r="M380" s="177"/>
      <c r="N380" s="177"/>
      <c r="O380" s="177"/>
      <c r="P380" s="177"/>
      <c r="Q380" s="177"/>
      <c r="R380" s="177"/>
      <c r="S380" s="177"/>
      <c r="T380" s="177"/>
      <c r="U380" s="177"/>
      <c r="V380" s="177"/>
      <c r="W380" s="177"/>
      <c r="X380" s="177"/>
      <c r="Y380" s="177"/>
      <c r="Z380" s="177"/>
      <c r="AA380" s="177"/>
      <c r="AB380" s="177"/>
      <c r="AC380" s="177"/>
    </row>
    <row r="381">
      <c r="A381" s="177"/>
      <c r="B381" s="177"/>
      <c r="C381" s="177"/>
      <c r="D381" s="177"/>
      <c r="E381" s="177"/>
      <c r="F381" s="177"/>
      <c r="G381" s="177"/>
      <c r="H381" s="177"/>
      <c r="I381" s="177"/>
      <c r="J381" s="177"/>
      <c r="K381" s="177"/>
      <c r="L381" s="177"/>
      <c r="M381" s="177"/>
      <c r="N381" s="177"/>
      <c r="O381" s="177"/>
      <c r="P381" s="177"/>
      <c r="Q381" s="177"/>
      <c r="R381" s="177"/>
      <c r="S381" s="177"/>
      <c r="T381" s="177"/>
      <c r="U381" s="177"/>
      <c r="V381" s="177"/>
      <c r="W381" s="177"/>
      <c r="X381" s="177"/>
      <c r="Y381" s="177"/>
      <c r="Z381" s="177"/>
      <c r="AA381" s="177"/>
      <c r="AB381" s="177"/>
      <c r="AC381" s="177"/>
    </row>
    <row r="382">
      <c r="A382" s="177"/>
      <c r="B382" s="177"/>
      <c r="C382" s="177"/>
      <c r="D382" s="177"/>
      <c r="E382" s="177"/>
      <c r="F382" s="177"/>
      <c r="G382" s="177"/>
      <c r="H382" s="177"/>
      <c r="I382" s="177"/>
      <c r="J382" s="177"/>
      <c r="K382" s="177"/>
      <c r="L382" s="177"/>
      <c r="M382" s="177"/>
      <c r="N382" s="177"/>
      <c r="O382" s="177"/>
      <c r="P382" s="177"/>
      <c r="Q382" s="177"/>
      <c r="R382" s="177"/>
      <c r="S382" s="177"/>
      <c r="T382" s="177"/>
      <c r="U382" s="177"/>
      <c r="V382" s="177"/>
      <c r="W382" s="177"/>
      <c r="X382" s="177"/>
      <c r="Y382" s="177"/>
      <c r="Z382" s="177"/>
      <c r="AA382" s="177"/>
      <c r="AB382" s="177"/>
      <c r="AC382" s="177"/>
    </row>
    <row r="383">
      <c r="A383" s="177"/>
      <c r="B383" s="177"/>
      <c r="C383" s="177"/>
      <c r="D383" s="177"/>
      <c r="E383" s="177"/>
      <c r="F383" s="177"/>
      <c r="G383" s="177"/>
      <c r="H383" s="177"/>
      <c r="I383" s="177"/>
      <c r="J383" s="177"/>
      <c r="K383" s="177"/>
      <c r="L383" s="177"/>
      <c r="M383" s="177"/>
      <c r="N383" s="177"/>
      <c r="O383" s="177"/>
      <c r="P383" s="177"/>
      <c r="Q383" s="177"/>
      <c r="R383" s="177"/>
      <c r="S383" s="177"/>
      <c r="T383" s="177"/>
      <c r="U383" s="177"/>
      <c r="V383" s="177"/>
      <c r="W383" s="177"/>
      <c r="X383" s="177"/>
      <c r="Y383" s="177"/>
      <c r="Z383" s="177"/>
      <c r="AA383" s="177"/>
      <c r="AB383" s="177"/>
      <c r="AC383" s="177"/>
    </row>
    <row r="384">
      <c r="A384" s="177"/>
      <c r="B384" s="177"/>
      <c r="C384" s="177"/>
      <c r="D384" s="177"/>
      <c r="E384" s="177"/>
      <c r="F384" s="177"/>
      <c r="G384" s="177"/>
      <c r="H384" s="177"/>
      <c r="I384" s="177"/>
      <c r="J384" s="177"/>
      <c r="K384" s="177"/>
      <c r="L384" s="177"/>
      <c r="M384" s="177"/>
      <c r="N384" s="177"/>
      <c r="O384" s="177"/>
      <c r="P384" s="177"/>
      <c r="Q384" s="177"/>
      <c r="R384" s="177"/>
      <c r="S384" s="177"/>
      <c r="T384" s="177"/>
      <c r="U384" s="177"/>
      <c r="V384" s="177"/>
      <c r="W384" s="177"/>
      <c r="X384" s="177"/>
      <c r="Y384" s="177"/>
      <c r="Z384" s="177"/>
      <c r="AA384" s="177"/>
      <c r="AB384" s="177"/>
      <c r="AC384" s="177"/>
    </row>
    <row r="385">
      <c r="A385" s="177"/>
      <c r="B385" s="177"/>
      <c r="C385" s="177"/>
      <c r="D385" s="177"/>
      <c r="E385" s="177"/>
      <c r="F385" s="177"/>
      <c r="G385" s="177"/>
      <c r="H385" s="177"/>
      <c r="I385" s="177"/>
      <c r="J385" s="177"/>
      <c r="K385" s="177"/>
      <c r="L385" s="177"/>
      <c r="M385" s="177"/>
      <c r="N385" s="177"/>
      <c r="O385" s="177"/>
      <c r="P385" s="177"/>
      <c r="Q385" s="177"/>
      <c r="R385" s="177"/>
      <c r="S385" s="177"/>
      <c r="T385" s="177"/>
      <c r="U385" s="177"/>
      <c r="V385" s="177"/>
      <c r="W385" s="177"/>
      <c r="X385" s="177"/>
      <c r="Y385" s="177"/>
      <c r="Z385" s="177"/>
      <c r="AA385" s="177"/>
      <c r="AB385" s="177"/>
      <c r="AC385" s="177"/>
    </row>
    <row r="386">
      <c r="A386" s="177"/>
      <c r="B386" s="177"/>
      <c r="C386" s="177"/>
      <c r="D386" s="177"/>
      <c r="E386" s="177"/>
      <c r="F386" s="177"/>
      <c r="G386" s="177"/>
      <c r="H386" s="177"/>
      <c r="I386" s="177"/>
      <c r="J386" s="177"/>
      <c r="K386" s="177"/>
      <c r="L386" s="177"/>
      <c r="M386" s="177"/>
      <c r="N386" s="177"/>
      <c r="O386" s="177"/>
      <c r="P386" s="177"/>
      <c r="Q386" s="177"/>
      <c r="R386" s="177"/>
      <c r="S386" s="177"/>
      <c r="T386" s="177"/>
      <c r="U386" s="177"/>
      <c r="V386" s="177"/>
      <c r="W386" s="177"/>
      <c r="X386" s="177"/>
      <c r="Y386" s="177"/>
      <c r="Z386" s="177"/>
      <c r="AA386" s="177"/>
      <c r="AB386" s="177"/>
      <c r="AC386" s="177"/>
    </row>
    <row r="387">
      <c r="A387" s="177"/>
      <c r="B387" s="177"/>
      <c r="C387" s="177"/>
      <c r="D387" s="177"/>
      <c r="E387" s="177"/>
      <c r="F387" s="177"/>
      <c r="G387" s="177"/>
      <c r="H387" s="177"/>
      <c r="I387" s="177"/>
      <c r="J387" s="177"/>
      <c r="K387" s="177"/>
      <c r="L387" s="177"/>
      <c r="M387" s="177"/>
      <c r="N387" s="177"/>
      <c r="O387" s="177"/>
      <c r="P387" s="177"/>
      <c r="Q387" s="177"/>
      <c r="R387" s="177"/>
      <c r="S387" s="177"/>
      <c r="T387" s="177"/>
      <c r="U387" s="177"/>
      <c r="V387" s="177"/>
      <c r="W387" s="177"/>
      <c r="X387" s="177"/>
      <c r="Y387" s="177"/>
      <c r="Z387" s="177"/>
      <c r="AA387" s="177"/>
      <c r="AB387" s="177"/>
      <c r="AC387" s="177"/>
    </row>
    <row r="388">
      <c r="A388" s="177"/>
      <c r="B388" s="177"/>
      <c r="C388" s="177"/>
      <c r="D388" s="177"/>
      <c r="E388" s="177"/>
      <c r="F388" s="177"/>
      <c r="G388" s="177"/>
      <c r="H388" s="177"/>
      <c r="I388" s="177"/>
      <c r="J388" s="177"/>
      <c r="K388" s="177"/>
      <c r="L388" s="177"/>
      <c r="M388" s="177"/>
      <c r="N388" s="177"/>
      <c r="O388" s="177"/>
      <c r="P388" s="177"/>
      <c r="Q388" s="177"/>
      <c r="R388" s="177"/>
      <c r="S388" s="177"/>
      <c r="T388" s="177"/>
      <c r="U388" s="177"/>
      <c r="V388" s="177"/>
      <c r="W388" s="177"/>
      <c r="X388" s="177"/>
      <c r="Y388" s="177"/>
      <c r="Z388" s="177"/>
      <c r="AA388" s="177"/>
      <c r="AB388" s="177"/>
      <c r="AC388" s="177"/>
    </row>
    <row r="389">
      <c r="A389" s="177"/>
      <c r="B389" s="177"/>
      <c r="C389" s="177"/>
      <c r="D389" s="177"/>
      <c r="E389" s="177"/>
      <c r="F389" s="177"/>
      <c r="G389" s="177"/>
      <c r="H389" s="177"/>
      <c r="I389" s="177"/>
      <c r="J389" s="177"/>
      <c r="K389" s="177"/>
      <c r="L389" s="177"/>
      <c r="M389" s="177"/>
      <c r="N389" s="177"/>
      <c r="O389" s="177"/>
      <c r="P389" s="177"/>
      <c r="Q389" s="177"/>
      <c r="R389" s="177"/>
      <c r="S389" s="177"/>
      <c r="T389" s="177"/>
      <c r="U389" s="177"/>
      <c r="V389" s="177"/>
      <c r="W389" s="177"/>
      <c r="X389" s="177"/>
      <c r="Y389" s="177"/>
      <c r="Z389" s="177"/>
      <c r="AA389" s="177"/>
      <c r="AB389" s="177"/>
      <c r="AC389" s="177"/>
    </row>
    <row r="390">
      <c r="A390" s="177"/>
      <c r="B390" s="177"/>
      <c r="C390" s="177"/>
      <c r="D390" s="177"/>
      <c r="E390" s="177"/>
      <c r="F390" s="177"/>
      <c r="G390" s="177"/>
      <c r="H390" s="177"/>
      <c r="I390" s="177"/>
      <c r="J390" s="177"/>
      <c r="K390" s="177"/>
      <c r="L390" s="177"/>
      <c r="M390" s="177"/>
      <c r="N390" s="177"/>
      <c r="O390" s="177"/>
      <c r="P390" s="177"/>
      <c r="Q390" s="177"/>
      <c r="R390" s="177"/>
      <c r="S390" s="177"/>
      <c r="T390" s="177"/>
      <c r="U390" s="177"/>
      <c r="V390" s="177"/>
      <c r="W390" s="177"/>
      <c r="X390" s="177"/>
      <c r="Y390" s="177"/>
      <c r="Z390" s="177"/>
      <c r="AA390" s="177"/>
      <c r="AB390" s="177"/>
      <c r="AC390" s="177"/>
    </row>
    <row r="391">
      <c r="A391" s="177"/>
      <c r="B391" s="177"/>
      <c r="C391" s="177"/>
      <c r="D391" s="177"/>
      <c r="E391" s="177"/>
      <c r="F391" s="177"/>
      <c r="G391" s="177"/>
      <c r="H391" s="177"/>
      <c r="I391" s="177"/>
      <c r="J391" s="177"/>
      <c r="K391" s="177"/>
      <c r="L391" s="177"/>
      <c r="M391" s="177"/>
      <c r="N391" s="177"/>
      <c r="O391" s="177"/>
      <c r="P391" s="177"/>
      <c r="Q391" s="177"/>
      <c r="R391" s="177"/>
      <c r="S391" s="177"/>
      <c r="T391" s="177"/>
      <c r="U391" s="177"/>
      <c r="V391" s="177"/>
      <c r="W391" s="177"/>
      <c r="X391" s="177"/>
      <c r="Y391" s="177"/>
      <c r="Z391" s="177"/>
      <c r="AA391" s="177"/>
      <c r="AB391" s="177"/>
      <c r="AC391" s="177"/>
    </row>
    <row r="392">
      <c r="A392" s="177"/>
      <c r="B392" s="177"/>
      <c r="C392" s="177"/>
      <c r="D392" s="177"/>
      <c r="E392" s="177"/>
      <c r="F392" s="177"/>
      <c r="G392" s="177"/>
      <c r="H392" s="177"/>
      <c r="I392" s="177"/>
      <c r="J392" s="177"/>
      <c r="K392" s="177"/>
      <c r="L392" s="177"/>
      <c r="M392" s="177"/>
      <c r="N392" s="177"/>
      <c r="O392" s="177"/>
      <c r="P392" s="177"/>
      <c r="Q392" s="177"/>
      <c r="R392" s="177"/>
      <c r="S392" s="177"/>
      <c r="T392" s="177"/>
      <c r="U392" s="177"/>
      <c r="V392" s="177"/>
      <c r="W392" s="177"/>
      <c r="X392" s="177"/>
      <c r="Y392" s="177"/>
      <c r="Z392" s="177"/>
      <c r="AA392" s="177"/>
      <c r="AB392" s="177"/>
      <c r="AC392" s="177"/>
    </row>
    <row r="393">
      <c r="A393" s="177"/>
      <c r="B393" s="177"/>
      <c r="C393" s="177"/>
      <c r="D393" s="177"/>
      <c r="E393" s="177"/>
      <c r="F393" s="177"/>
      <c r="G393" s="177"/>
      <c r="H393" s="177"/>
      <c r="I393" s="177"/>
      <c r="J393" s="177"/>
      <c r="K393" s="177"/>
      <c r="L393" s="177"/>
      <c r="M393" s="177"/>
      <c r="N393" s="177"/>
      <c r="O393" s="177"/>
      <c r="P393" s="177"/>
      <c r="Q393" s="177"/>
      <c r="R393" s="177"/>
      <c r="S393" s="177"/>
      <c r="T393" s="177"/>
      <c r="U393" s="177"/>
      <c r="V393" s="177"/>
      <c r="W393" s="177"/>
      <c r="X393" s="177"/>
      <c r="Y393" s="177"/>
      <c r="Z393" s="177"/>
      <c r="AA393" s="177"/>
      <c r="AB393" s="177"/>
      <c r="AC393" s="177"/>
    </row>
    <row r="394">
      <c r="A394" s="177"/>
      <c r="B394" s="177"/>
      <c r="C394" s="177"/>
      <c r="D394" s="177"/>
      <c r="E394" s="177"/>
      <c r="F394" s="177"/>
      <c r="G394" s="177"/>
      <c r="H394" s="177"/>
      <c r="I394" s="177"/>
      <c r="J394" s="177"/>
      <c r="K394" s="177"/>
      <c r="L394" s="177"/>
      <c r="M394" s="177"/>
      <c r="N394" s="177"/>
      <c r="O394" s="177"/>
      <c r="P394" s="177"/>
      <c r="Q394" s="177"/>
      <c r="R394" s="177"/>
      <c r="S394" s="177"/>
      <c r="T394" s="177"/>
      <c r="U394" s="177"/>
      <c r="V394" s="177"/>
      <c r="W394" s="177"/>
      <c r="X394" s="177"/>
      <c r="Y394" s="177"/>
      <c r="Z394" s="177"/>
      <c r="AA394" s="177"/>
      <c r="AB394" s="177"/>
      <c r="AC394" s="177"/>
    </row>
    <row r="395">
      <c r="A395" s="177"/>
      <c r="B395" s="177"/>
      <c r="C395" s="177"/>
      <c r="D395" s="177"/>
      <c r="E395" s="177"/>
      <c r="F395" s="177"/>
      <c r="G395" s="177"/>
      <c r="H395" s="177"/>
      <c r="I395" s="177"/>
      <c r="J395" s="177"/>
      <c r="K395" s="177"/>
      <c r="L395" s="177"/>
      <c r="M395" s="177"/>
      <c r="N395" s="177"/>
      <c r="O395" s="177"/>
      <c r="P395" s="177"/>
      <c r="Q395" s="177"/>
      <c r="R395" s="177"/>
      <c r="S395" s="177"/>
      <c r="T395" s="177"/>
      <c r="U395" s="177"/>
      <c r="V395" s="177"/>
      <c r="W395" s="177"/>
      <c r="X395" s="177"/>
      <c r="Y395" s="177"/>
      <c r="Z395" s="177"/>
      <c r="AA395" s="177"/>
      <c r="AB395" s="177"/>
      <c r="AC395" s="177"/>
    </row>
    <row r="396">
      <c r="A396" s="177"/>
      <c r="B396" s="177"/>
      <c r="C396" s="177"/>
      <c r="D396" s="177"/>
      <c r="E396" s="177"/>
      <c r="F396" s="177"/>
      <c r="G396" s="177"/>
      <c r="H396" s="177"/>
      <c r="I396" s="177"/>
      <c r="J396" s="177"/>
      <c r="K396" s="177"/>
      <c r="L396" s="177"/>
      <c r="M396" s="177"/>
      <c r="N396" s="177"/>
      <c r="O396" s="177"/>
      <c r="P396" s="177"/>
      <c r="Q396" s="177"/>
      <c r="R396" s="177"/>
      <c r="S396" s="177"/>
      <c r="T396" s="177"/>
      <c r="U396" s="177"/>
      <c r="V396" s="177"/>
      <c r="W396" s="177"/>
      <c r="X396" s="177"/>
      <c r="Y396" s="177"/>
      <c r="Z396" s="177"/>
      <c r="AA396" s="177"/>
      <c r="AB396" s="177"/>
      <c r="AC396" s="177"/>
    </row>
    <row r="397">
      <c r="A397" s="177"/>
      <c r="B397" s="177"/>
      <c r="C397" s="177"/>
      <c r="D397" s="177"/>
      <c r="E397" s="177"/>
      <c r="F397" s="177"/>
      <c r="G397" s="177"/>
      <c r="H397" s="177"/>
      <c r="I397" s="177"/>
      <c r="J397" s="177"/>
      <c r="K397" s="177"/>
      <c r="L397" s="177"/>
      <c r="M397" s="177"/>
      <c r="N397" s="177"/>
      <c r="O397" s="177"/>
      <c r="P397" s="177"/>
      <c r="Q397" s="177"/>
      <c r="R397" s="177"/>
      <c r="S397" s="177"/>
      <c r="T397" s="177"/>
      <c r="U397" s="177"/>
      <c r="V397" s="177"/>
      <c r="W397" s="177"/>
      <c r="X397" s="177"/>
      <c r="Y397" s="177"/>
      <c r="Z397" s="177"/>
      <c r="AA397" s="177"/>
      <c r="AB397" s="177"/>
      <c r="AC397" s="177"/>
    </row>
    <row r="398">
      <c r="A398" s="177"/>
      <c r="B398" s="177"/>
      <c r="C398" s="177"/>
      <c r="D398" s="177"/>
      <c r="E398" s="177"/>
      <c r="F398" s="177"/>
      <c r="G398" s="177"/>
      <c r="H398" s="177"/>
      <c r="I398" s="177"/>
      <c r="J398" s="177"/>
      <c r="K398" s="177"/>
      <c r="L398" s="177"/>
      <c r="M398" s="177"/>
      <c r="N398" s="177"/>
      <c r="O398" s="177"/>
      <c r="P398" s="177"/>
      <c r="Q398" s="177"/>
      <c r="R398" s="177"/>
      <c r="S398" s="177"/>
      <c r="T398" s="177"/>
      <c r="U398" s="177"/>
      <c r="V398" s="177"/>
      <c r="W398" s="177"/>
      <c r="X398" s="177"/>
      <c r="Y398" s="177"/>
      <c r="Z398" s="177"/>
      <c r="AA398" s="177"/>
      <c r="AB398" s="177"/>
      <c r="AC398" s="177"/>
    </row>
    <row r="399">
      <c r="A399" s="177"/>
      <c r="B399" s="177"/>
      <c r="C399" s="177"/>
      <c r="D399" s="177"/>
      <c r="E399" s="177"/>
      <c r="F399" s="177"/>
      <c r="G399" s="177"/>
      <c r="H399" s="177"/>
      <c r="I399" s="177"/>
      <c r="J399" s="177"/>
      <c r="K399" s="177"/>
      <c r="L399" s="177"/>
      <c r="M399" s="177"/>
      <c r="N399" s="177"/>
      <c r="O399" s="177"/>
      <c r="P399" s="177"/>
      <c r="Q399" s="177"/>
      <c r="R399" s="177"/>
      <c r="S399" s="177"/>
      <c r="T399" s="177"/>
      <c r="U399" s="177"/>
      <c r="V399" s="177"/>
      <c r="W399" s="177"/>
      <c r="X399" s="177"/>
      <c r="Y399" s="177"/>
      <c r="Z399" s="177"/>
      <c r="AA399" s="177"/>
      <c r="AB399" s="177"/>
      <c r="AC399" s="177"/>
    </row>
    <row r="400">
      <c r="A400" s="177"/>
      <c r="B400" s="177"/>
      <c r="C400" s="177"/>
      <c r="D400" s="177"/>
      <c r="E400" s="177"/>
      <c r="F400" s="177"/>
      <c r="G400" s="177"/>
      <c r="H400" s="177"/>
      <c r="I400" s="177"/>
      <c r="J400" s="177"/>
      <c r="K400" s="177"/>
      <c r="L400" s="177"/>
      <c r="M400" s="177"/>
      <c r="N400" s="177"/>
      <c r="O400" s="177"/>
      <c r="P400" s="177"/>
      <c r="Q400" s="177"/>
      <c r="R400" s="177"/>
      <c r="S400" s="177"/>
      <c r="T400" s="177"/>
      <c r="U400" s="177"/>
      <c r="V400" s="177"/>
      <c r="W400" s="177"/>
      <c r="X400" s="177"/>
      <c r="Y400" s="177"/>
      <c r="Z400" s="177"/>
      <c r="AA400" s="177"/>
      <c r="AB400" s="177"/>
      <c r="AC400" s="177"/>
    </row>
    <row r="401">
      <c r="A401" s="177"/>
      <c r="B401" s="177"/>
      <c r="C401" s="177"/>
      <c r="D401" s="177"/>
      <c r="E401" s="177"/>
      <c r="F401" s="177"/>
      <c r="G401" s="177"/>
      <c r="H401" s="177"/>
      <c r="I401" s="177"/>
      <c r="J401" s="177"/>
      <c r="K401" s="177"/>
      <c r="L401" s="177"/>
      <c r="M401" s="177"/>
      <c r="N401" s="177"/>
      <c r="O401" s="177"/>
      <c r="P401" s="177"/>
      <c r="Q401" s="177"/>
      <c r="R401" s="177"/>
      <c r="S401" s="177"/>
      <c r="T401" s="177"/>
      <c r="U401" s="177"/>
      <c r="V401" s="177"/>
      <c r="W401" s="177"/>
      <c r="X401" s="177"/>
      <c r="Y401" s="177"/>
      <c r="Z401" s="177"/>
      <c r="AA401" s="177"/>
      <c r="AB401" s="177"/>
      <c r="AC401" s="177"/>
    </row>
    <row r="402">
      <c r="A402" s="177"/>
      <c r="B402" s="177"/>
      <c r="C402" s="177"/>
      <c r="D402" s="177"/>
      <c r="E402" s="177"/>
      <c r="F402" s="177"/>
      <c r="G402" s="177"/>
      <c r="H402" s="177"/>
      <c r="I402" s="177"/>
      <c r="J402" s="177"/>
      <c r="K402" s="177"/>
      <c r="L402" s="177"/>
      <c r="M402" s="177"/>
      <c r="N402" s="177"/>
      <c r="O402" s="177"/>
      <c r="P402" s="177"/>
      <c r="Q402" s="177"/>
      <c r="R402" s="177"/>
      <c r="S402" s="177"/>
      <c r="T402" s="177"/>
      <c r="U402" s="177"/>
      <c r="V402" s="177"/>
      <c r="W402" s="177"/>
      <c r="X402" s="177"/>
      <c r="Y402" s="177"/>
      <c r="Z402" s="177"/>
      <c r="AA402" s="177"/>
      <c r="AB402" s="177"/>
      <c r="AC402" s="177"/>
    </row>
    <row r="403">
      <c r="A403" s="177"/>
      <c r="B403" s="177"/>
      <c r="C403" s="177"/>
      <c r="D403" s="177"/>
      <c r="E403" s="177"/>
      <c r="F403" s="177"/>
      <c r="G403" s="177"/>
      <c r="H403" s="177"/>
      <c r="I403" s="177"/>
      <c r="J403" s="177"/>
      <c r="K403" s="177"/>
      <c r="L403" s="177"/>
      <c r="M403" s="177"/>
      <c r="N403" s="177"/>
      <c r="O403" s="177"/>
      <c r="P403" s="177"/>
      <c r="Q403" s="177"/>
      <c r="R403" s="177"/>
      <c r="S403" s="177"/>
      <c r="T403" s="177"/>
      <c r="U403" s="177"/>
      <c r="V403" s="177"/>
      <c r="W403" s="177"/>
      <c r="X403" s="177"/>
      <c r="Y403" s="177"/>
      <c r="Z403" s="177"/>
      <c r="AA403" s="177"/>
      <c r="AB403" s="177"/>
      <c r="AC403" s="177"/>
    </row>
    <row r="404">
      <c r="A404" s="177"/>
      <c r="B404" s="177"/>
      <c r="C404" s="177"/>
      <c r="D404" s="177"/>
      <c r="E404" s="177"/>
      <c r="F404" s="177"/>
      <c r="G404" s="177"/>
      <c r="H404" s="177"/>
      <c r="I404" s="177"/>
      <c r="J404" s="177"/>
      <c r="K404" s="177"/>
      <c r="L404" s="177"/>
      <c r="M404" s="177"/>
      <c r="N404" s="177"/>
      <c r="O404" s="177"/>
      <c r="P404" s="177"/>
      <c r="Q404" s="177"/>
      <c r="R404" s="177"/>
      <c r="S404" s="177"/>
      <c r="T404" s="177"/>
      <c r="U404" s="177"/>
      <c r="V404" s="177"/>
      <c r="W404" s="177"/>
      <c r="X404" s="177"/>
      <c r="Y404" s="177"/>
      <c r="Z404" s="177"/>
      <c r="AA404" s="177"/>
      <c r="AB404" s="177"/>
      <c r="AC404" s="177"/>
    </row>
    <row r="405">
      <c r="A405" s="177"/>
      <c r="B405" s="177"/>
      <c r="C405" s="177"/>
      <c r="D405" s="177"/>
      <c r="E405" s="177"/>
      <c r="F405" s="177"/>
      <c r="G405" s="177"/>
      <c r="H405" s="177"/>
      <c r="I405" s="177"/>
      <c r="J405" s="177"/>
      <c r="K405" s="177"/>
      <c r="L405" s="177"/>
      <c r="M405" s="177"/>
      <c r="N405" s="177"/>
      <c r="O405" s="177"/>
      <c r="P405" s="177"/>
      <c r="Q405" s="177"/>
      <c r="R405" s="177"/>
      <c r="S405" s="177"/>
      <c r="T405" s="177"/>
      <c r="U405" s="177"/>
      <c r="V405" s="177"/>
      <c r="W405" s="177"/>
      <c r="X405" s="177"/>
      <c r="Y405" s="177"/>
      <c r="Z405" s="177"/>
      <c r="AA405" s="177"/>
      <c r="AB405" s="177"/>
      <c r="AC405" s="177"/>
    </row>
    <row r="406">
      <c r="A406" s="177"/>
      <c r="B406" s="177"/>
      <c r="C406" s="177"/>
      <c r="D406" s="177"/>
      <c r="E406" s="177"/>
      <c r="F406" s="177"/>
      <c r="G406" s="177"/>
      <c r="H406" s="177"/>
      <c r="I406" s="177"/>
      <c r="J406" s="177"/>
      <c r="K406" s="177"/>
      <c r="L406" s="177"/>
      <c r="M406" s="177"/>
      <c r="N406" s="177"/>
      <c r="O406" s="177"/>
      <c r="P406" s="177"/>
      <c r="Q406" s="177"/>
      <c r="R406" s="177"/>
      <c r="S406" s="177"/>
      <c r="T406" s="177"/>
      <c r="U406" s="177"/>
      <c r="V406" s="177"/>
      <c r="W406" s="177"/>
      <c r="X406" s="177"/>
      <c r="Y406" s="177"/>
      <c r="Z406" s="177"/>
      <c r="AA406" s="177"/>
      <c r="AB406" s="177"/>
      <c r="AC406" s="177"/>
    </row>
    <row r="407">
      <c r="A407" s="177"/>
      <c r="B407" s="177"/>
      <c r="C407" s="177"/>
      <c r="D407" s="177"/>
      <c r="E407" s="177"/>
      <c r="F407" s="177"/>
      <c r="G407" s="177"/>
      <c r="H407" s="177"/>
      <c r="I407" s="177"/>
      <c r="J407" s="177"/>
      <c r="K407" s="177"/>
      <c r="L407" s="177"/>
      <c r="M407" s="177"/>
      <c r="N407" s="177"/>
      <c r="O407" s="177"/>
      <c r="P407" s="177"/>
      <c r="Q407" s="177"/>
      <c r="R407" s="177"/>
      <c r="S407" s="177"/>
      <c r="T407" s="177"/>
      <c r="U407" s="177"/>
      <c r="V407" s="177"/>
      <c r="W407" s="177"/>
      <c r="X407" s="177"/>
      <c r="Y407" s="177"/>
      <c r="Z407" s="177"/>
      <c r="AA407" s="177"/>
      <c r="AB407" s="177"/>
      <c r="AC407" s="177"/>
    </row>
    <row r="408">
      <c r="A408" s="177"/>
      <c r="B408" s="177"/>
      <c r="C408" s="177"/>
      <c r="D408" s="177"/>
      <c r="E408" s="177"/>
      <c r="F408" s="177"/>
      <c r="G408" s="177"/>
      <c r="H408" s="177"/>
      <c r="I408" s="177"/>
      <c r="J408" s="177"/>
      <c r="K408" s="177"/>
      <c r="L408" s="177"/>
      <c r="M408" s="177"/>
      <c r="N408" s="177"/>
      <c r="O408" s="177"/>
      <c r="P408" s="177"/>
      <c r="Q408" s="177"/>
      <c r="R408" s="177"/>
      <c r="S408" s="177"/>
      <c r="T408" s="177"/>
      <c r="U408" s="177"/>
      <c r="V408" s="177"/>
      <c r="W408" s="177"/>
      <c r="X408" s="177"/>
      <c r="Y408" s="177"/>
      <c r="Z408" s="177"/>
      <c r="AA408" s="177"/>
      <c r="AB408" s="177"/>
      <c r="AC408" s="177"/>
    </row>
    <row r="409">
      <c r="A409" s="177"/>
      <c r="B409" s="177"/>
      <c r="C409" s="177"/>
      <c r="D409" s="177"/>
      <c r="E409" s="177"/>
      <c r="F409" s="177"/>
      <c r="G409" s="177"/>
      <c r="H409" s="177"/>
      <c r="I409" s="177"/>
      <c r="J409" s="177"/>
      <c r="K409" s="177"/>
      <c r="L409" s="177"/>
      <c r="M409" s="177"/>
      <c r="N409" s="177"/>
      <c r="O409" s="177"/>
      <c r="P409" s="177"/>
      <c r="Q409" s="177"/>
      <c r="R409" s="177"/>
      <c r="S409" s="177"/>
      <c r="T409" s="177"/>
      <c r="U409" s="177"/>
      <c r="V409" s="177"/>
      <c r="W409" s="177"/>
      <c r="X409" s="177"/>
      <c r="Y409" s="177"/>
      <c r="Z409" s="177"/>
      <c r="AA409" s="177"/>
      <c r="AB409" s="177"/>
      <c r="AC409" s="177"/>
    </row>
    <row r="410">
      <c r="A410" s="177"/>
      <c r="B410" s="177"/>
      <c r="C410" s="177"/>
      <c r="D410" s="177"/>
      <c r="E410" s="177"/>
      <c r="F410" s="177"/>
      <c r="G410" s="177"/>
      <c r="H410" s="177"/>
      <c r="I410" s="177"/>
      <c r="J410" s="177"/>
      <c r="K410" s="177"/>
      <c r="L410" s="177"/>
      <c r="M410" s="177"/>
      <c r="N410" s="177"/>
      <c r="O410" s="177"/>
      <c r="P410" s="177"/>
      <c r="Q410" s="177"/>
      <c r="R410" s="177"/>
      <c r="S410" s="177"/>
      <c r="T410" s="177"/>
      <c r="U410" s="177"/>
      <c r="V410" s="177"/>
      <c r="W410" s="177"/>
      <c r="X410" s="177"/>
      <c r="Y410" s="177"/>
      <c r="Z410" s="177"/>
      <c r="AA410" s="177"/>
      <c r="AB410" s="177"/>
      <c r="AC410" s="177"/>
    </row>
    <row r="411">
      <c r="A411" s="177"/>
      <c r="B411" s="177"/>
      <c r="C411" s="177"/>
      <c r="D411" s="177"/>
      <c r="E411" s="177"/>
      <c r="F411" s="177"/>
      <c r="G411" s="177"/>
      <c r="H411" s="177"/>
      <c r="I411" s="177"/>
      <c r="J411" s="177"/>
      <c r="K411" s="177"/>
      <c r="L411" s="177"/>
      <c r="M411" s="177"/>
      <c r="N411" s="177"/>
      <c r="O411" s="177"/>
      <c r="P411" s="177"/>
      <c r="Q411" s="177"/>
      <c r="R411" s="177"/>
      <c r="S411" s="177"/>
      <c r="T411" s="177"/>
      <c r="U411" s="177"/>
      <c r="V411" s="177"/>
      <c r="W411" s="177"/>
      <c r="X411" s="177"/>
      <c r="Y411" s="177"/>
      <c r="Z411" s="177"/>
      <c r="AA411" s="177"/>
      <c r="AB411" s="177"/>
      <c r="AC411" s="177"/>
    </row>
    <row r="412">
      <c r="A412" s="177"/>
      <c r="B412" s="177"/>
      <c r="C412" s="177"/>
      <c r="D412" s="177"/>
      <c r="E412" s="177"/>
      <c r="F412" s="177"/>
      <c r="G412" s="177"/>
      <c r="H412" s="177"/>
      <c r="I412" s="177"/>
      <c r="J412" s="177"/>
      <c r="K412" s="177"/>
      <c r="L412" s="177"/>
      <c r="M412" s="177"/>
      <c r="N412" s="177"/>
      <c r="O412" s="177"/>
      <c r="P412" s="177"/>
      <c r="Q412" s="177"/>
      <c r="R412" s="177"/>
      <c r="S412" s="177"/>
      <c r="T412" s="177"/>
      <c r="U412" s="177"/>
      <c r="V412" s="177"/>
      <c r="W412" s="177"/>
      <c r="X412" s="177"/>
      <c r="Y412" s="177"/>
      <c r="Z412" s="177"/>
      <c r="AA412" s="177"/>
      <c r="AB412" s="177"/>
      <c r="AC412" s="177"/>
    </row>
    <row r="413">
      <c r="A413" s="177"/>
      <c r="B413" s="177"/>
      <c r="C413" s="177"/>
      <c r="D413" s="177"/>
      <c r="E413" s="177"/>
      <c r="F413" s="177"/>
      <c r="G413" s="177"/>
      <c r="H413" s="177"/>
      <c r="I413" s="177"/>
      <c r="J413" s="177"/>
      <c r="K413" s="177"/>
      <c r="L413" s="177"/>
      <c r="M413" s="177"/>
      <c r="N413" s="177"/>
      <c r="O413" s="177"/>
      <c r="P413" s="177"/>
      <c r="Q413" s="177"/>
      <c r="R413" s="177"/>
      <c r="S413" s="177"/>
      <c r="T413" s="177"/>
      <c r="U413" s="177"/>
      <c r="V413" s="177"/>
      <c r="W413" s="177"/>
      <c r="X413" s="177"/>
      <c r="Y413" s="177"/>
      <c r="Z413" s="177"/>
      <c r="AA413" s="177"/>
      <c r="AB413" s="177"/>
      <c r="AC413" s="177"/>
    </row>
    <row r="414">
      <c r="A414" s="177"/>
      <c r="B414" s="177"/>
      <c r="C414" s="177"/>
      <c r="D414" s="177"/>
      <c r="E414" s="177"/>
      <c r="F414" s="177"/>
      <c r="G414" s="177"/>
      <c r="H414" s="177"/>
      <c r="I414" s="177"/>
      <c r="J414" s="177"/>
      <c r="K414" s="177"/>
      <c r="L414" s="177"/>
      <c r="M414" s="177"/>
      <c r="N414" s="177"/>
      <c r="O414" s="177"/>
      <c r="P414" s="177"/>
      <c r="Q414" s="177"/>
      <c r="R414" s="177"/>
      <c r="S414" s="177"/>
      <c r="T414" s="177"/>
      <c r="U414" s="177"/>
      <c r="V414" s="177"/>
      <c r="W414" s="177"/>
      <c r="X414" s="177"/>
      <c r="Y414" s="177"/>
      <c r="Z414" s="177"/>
      <c r="AA414" s="177"/>
      <c r="AB414" s="177"/>
      <c r="AC414" s="177"/>
    </row>
    <row r="415">
      <c r="A415" s="177"/>
      <c r="B415" s="177"/>
      <c r="C415" s="177"/>
      <c r="D415" s="177"/>
      <c r="E415" s="177"/>
      <c r="F415" s="177"/>
      <c r="G415" s="177"/>
      <c r="H415" s="177"/>
      <c r="I415" s="177"/>
      <c r="J415" s="177"/>
      <c r="K415" s="177"/>
      <c r="L415" s="177"/>
      <c r="M415" s="177"/>
      <c r="N415" s="177"/>
      <c r="O415" s="177"/>
      <c r="P415" s="177"/>
      <c r="Q415" s="177"/>
      <c r="R415" s="177"/>
      <c r="S415" s="177"/>
      <c r="T415" s="177"/>
      <c r="U415" s="177"/>
      <c r="V415" s="177"/>
      <c r="W415" s="177"/>
      <c r="X415" s="177"/>
      <c r="Y415" s="177"/>
      <c r="Z415" s="177"/>
      <c r="AA415" s="177"/>
      <c r="AB415" s="177"/>
      <c r="AC415" s="177"/>
    </row>
    <row r="416">
      <c r="A416" s="177"/>
      <c r="B416" s="177"/>
      <c r="C416" s="177"/>
      <c r="D416" s="177"/>
      <c r="E416" s="177"/>
      <c r="F416" s="177"/>
      <c r="G416" s="177"/>
      <c r="H416" s="177"/>
      <c r="I416" s="177"/>
      <c r="J416" s="177"/>
      <c r="K416" s="177"/>
      <c r="L416" s="177"/>
      <c r="M416" s="177"/>
      <c r="N416" s="177"/>
      <c r="O416" s="177"/>
      <c r="P416" s="177"/>
      <c r="Q416" s="177"/>
      <c r="R416" s="177"/>
      <c r="S416" s="177"/>
      <c r="T416" s="177"/>
      <c r="U416" s="177"/>
      <c r="V416" s="177"/>
      <c r="W416" s="177"/>
      <c r="X416" s="177"/>
      <c r="Y416" s="177"/>
      <c r="Z416" s="177"/>
      <c r="AA416" s="177"/>
      <c r="AB416" s="177"/>
      <c r="AC416" s="177"/>
    </row>
    <row r="417">
      <c r="A417" s="177"/>
      <c r="B417" s="177"/>
      <c r="C417" s="177"/>
      <c r="D417" s="177"/>
      <c r="E417" s="177"/>
      <c r="F417" s="177"/>
      <c r="G417" s="177"/>
      <c r="H417" s="177"/>
      <c r="I417" s="177"/>
      <c r="J417" s="177"/>
      <c r="K417" s="177"/>
      <c r="L417" s="177"/>
      <c r="M417" s="177"/>
      <c r="N417" s="177"/>
      <c r="O417" s="177"/>
      <c r="P417" s="177"/>
      <c r="Q417" s="177"/>
      <c r="R417" s="177"/>
      <c r="S417" s="177"/>
      <c r="T417" s="177"/>
      <c r="U417" s="177"/>
      <c r="V417" s="177"/>
      <c r="W417" s="177"/>
      <c r="X417" s="177"/>
      <c r="Y417" s="177"/>
      <c r="Z417" s="177"/>
      <c r="AA417" s="177"/>
      <c r="AB417" s="177"/>
      <c r="AC417" s="177"/>
    </row>
    <row r="418">
      <c r="A418" s="177"/>
      <c r="B418" s="177"/>
      <c r="C418" s="177"/>
      <c r="D418" s="177"/>
      <c r="E418" s="177"/>
      <c r="F418" s="177"/>
      <c r="G418" s="177"/>
      <c r="H418" s="177"/>
      <c r="I418" s="177"/>
      <c r="J418" s="177"/>
      <c r="K418" s="177"/>
      <c r="L418" s="177"/>
      <c r="M418" s="177"/>
      <c r="N418" s="177"/>
      <c r="O418" s="177"/>
      <c r="P418" s="177"/>
      <c r="Q418" s="177"/>
      <c r="R418" s="177"/>
      <c r="S418" s="177"/>
      <c r="T418" s="177"/>
      <c r="U418" s="177"/>
      <c r="V418" s="177"/>
      <c r="W418" s="177"/>
      <c r="X418" s="177"/>
      <c r="Y418" s="177"/>
      <c r="Z418" s="177"/>
      <c r="AA418" s="177"/>
      <c r="AB418" s="177"/>
      <c r="AC418" s="177"/>
    </row>
    <row r="419">
      <c r="A419" s="177"/>
      <c r="B419" s="177"/>
      <c r="C419" s="177"/>
      <c r="D419" s="177"/>
      <c r="E419" s="177"/>
      <c r="F419" s="177"/>
      <c r="G419" s="177"/>
      <c r="H419" s="177"/>
      <c r="I419" s="177"/>
      <c r="J419" s="177"/>
      <c r="K419" s="177"/>
      <c r="L419" s="177"/>
      <c r="M419" s="177"/>
      <c r="N419" s="177"/>
      <c r="O419" s="177"/>
      <c r="P419" s="177"/>
      <c r="Q419" s="177"/>
      <c r="R419" s="177"/>
      <c r="S419" s="177"/>
      <c r="T419" s="177"/>
      <c r="U419" s="177"/>
      <c r="V419" s="177"/>
      <c r="W419" s="177"/>
      <c r="X419" s="177"/>
      <c r="Y419" s="177"/>
      <c r="Z419" s="177"/>
      <c r="AA419" s="177"/>
      <c r="AB419" s="177"/>
      <c r="AC419" s="177"/>
    </row>
    <row r="420">
      <c r="A420" s="177"/>
      <c r="B420" s="177"/>
      <c r="C420" s="177"/>
      <c r="D420" s="177"/>
      <c r="E420" s="177"/>
      <c r="F420" s="177"/>
      <c r="G420" s="177"/>
      <c r="H420" s="177"/>
      <c r="I420" s="177"/>
      <c r="J420" s="177"/>
      <c r="K420" s="177"/>
      <c r="L420" s="177"/>
      <c r="M420" s="177"/>
      <c r="N420" s="177"/>
      <c r="O420" s="177"/>
      <c r="P420" s="177"/>
      <c r="Q420" s="177"/>
      <c r="R420" s="177"/>
      <c r="S420" s="177"/>
      <c r="T420" s="177"/>
      <c r="U420" s="177"/>
      <c r="V420" s="177"/>
      <c r="W420" s="177"/>
      <c r="X420" s="177"/>
      <c r="Y420" s="177"/>
      <c r="Z420" s="177"/>
      <c r="AA420" s="177"/>
      <c r="AB420" s="177"/>
      <c r="AC420" s="177"/>
    </row>
    <row r="421">
      <c r="A421" s="177"/>
      <c r="B421" s="177"/>
      <c r="C421" s="177"/>
      <c r="D421" s="177"/>
      <c r="E421" s="177"/>
      <c r="F421" s="177"/>
      <c r="G421" s="177"/>
      <c r="H421" s="177"/>
      <c r="I421" s="177"/>
      <c r="J421" s="177"/>
      <c r="K421" s="177"/>
      <c r="L421" s="177"/>
      <c r="M421" s="177"/>
      <c r="N421" s="177"/>
      <c r="O421" s="177"/>
      <c r="P421" s="177"/>
      <c r="Q421" s="177"/>
      <c r="R421" s="177"/>
      <c r="S421" s="177"/>
      <c r="T421" s="177"/>
      <c r="U421" s="177"/>
      <c r="V421" s="177"/>
      <c r="W421" s="177"/>
      <c r="X421" s="177"/>
      <c r="Y421" s="177"/>
      <c r="Z421" s="177"/>
      <c r="AA421" s="177"/>
      <c r="AB421" s="177"/>
      <c r="AC421" s="177"/>
    </row>
    <row r="422">
      <c r="A422" s="177"/>
      <c r="B422" s="177"/>
      <c r="C422" s="177"/>
      <c r="D422" s="177"/>
      <c r="E422" s="177"/>
      <c r="F422" s="177"/>
      <c r="G422" s="177"/>
      <c r="H422" s="177"/>
      <c r="I422" s="177"/>
      <c r="J422" s="177"/>
      <c r="K422" s="177"/>
      <c r="L422" s="177"/>
      <c r="M422" s="177"/>
      <c r="N422" s="177"/>
      <c r="O422" s="177"/>
      <c r="P422" s="177"/>
      <c r="Q422" s="177"/>
      <c r="R422" s="177"/>
      <c r="S422" s="177"/>
      <c r="T422" s="177"/>
      <c r="U422" s="177"/>
      <c r="V422" s="177"/>
      <c r="W422" s="177"/>
      <c r="X422" s="177"/>
      <c r="Y422" s="177"/>
      <c r="Z422" s="177"/>
      <c r="AA422" s="177"/>
      <c r="AB422" s="177"/>
      <c r="AC422" s="177"/>
    </row>
    <row r="423">
      <c r="A423" s="177"/>
      <c r="B423" s="177"/>
      <c r="C423" s="177"/>
      <c r="D423" s="177"/>
      <c r="E423" s="177"/>
      <c r="F423" s="177"/>
      <c r="G423" s="177"/>
      <c r="H423" s="177"/>
      <c r="I423" s="177"/>
      <c r="J423" s="177"/>
      <c r="K423" s="177"/>
      <c r="L423" s="177"/>
      <c r="M423" s="177"/>
      <c r="N423" s="177"/>
      <c r="O423" s="177"/>
      <c r="P423" s="177"/>
      <c r="Q423" s="177"/>
      <c r="R423" s="177"/>
      <c r="S423" s="177"/>
      <c r="T423" s="177"/>
      <c r="U423" s="177"/>
      <c r="V423" s="177"/>
      <c r="W423" s="177"/>
      <c r="X423" s="177"/>
      <c r="Y423" s="177"/>
      <c r="Z423" s="177"/>
      <c r="AA423" s="177"/>
      <c r="AB423" s="177"/>
      <c r="AC423" s="177"/>
    </row>
    <row r="424">
      <c r="A424" s="177"/>
      <c r="B424" s="177"/>
      <c r="C424" s="177"/>
      <c r="D424" s="177"/>
      <c r="E424" s="177"/>
      <c r="F424" s="177"/>
      <c r="G424" s="177"/>
      <c r="H424" s="177"/>
      <c r="I424" s="177"/>
      <c r="J424" s="177"/>
      <c r="K424" s="177"/>
      <c r="L424" s="177"/>
      <c r="M424" s="177"/>
      <c r="N424" s="177"/>
      <c r="O424" s="177"/>
      <c r="P424" s="177"/>
      <c r="Q424" s="177"/>
      <c r="R424" s="177"/>
      <c r="S424" s="177"/>
      <c r="T424" s="177"/>
      <c r="U424" s="177"/>
      <c r="V424" s="177"/>
      <c r="W424" s="177"/>
      <c r="X424" s="177"/>
      <c r="Y424" s="177"/>
      <c r="Z424" s="177"/>
      <c r="AA424" s="177"/>
      <c r="AB424" s="177"/>
      <c r="AC424" s="177"/>
    </row>
    <row r="425">
      <c r="A425" s="177"/>
      <c r="B425" s="177"/>
      <c r="C425" s="177"/>
      <c r="D425" s="177"/>
      <c r="E425" s="177"/>
      <c r="F425" s="177"/>
      <c r="G425" s="177"/>
      <c r="H425" s="177"/>
      <c r="I425" s="177"/>
      <c r="J425" s="177"/>
      <c r="K425" s="177"/>
      <c r="L425" s="177"/>
      <c r="M425" s="177"/>
      <c r="N425" s="177"/>
      <c r="O425" s="177"/>
      <c r="P425" s="177"/>
      <c r="Q425" s="177"/>
      <c r="R425" s="177"/>
      <c r="S425" s="177"/>
      <c r="T425" s="177"/>
      <c r="U425" s="177"/>
      <c r="V425" s="177"/>
      <c r="W425" s="177"/>
      <c r="X425" s="177"/>
      <c r="Y425" s="177"/>
      <c r="Z425" s="177"/>
      <c r="AA425" s="177"/>
      <c r="AB425" s="177"/>
      <c r="AC425" s="177"/>
    </row>
    <row r="426">
      <c r="A426" s="177"/>
      <c r="B426" s="177"/>
      <c r="C426" s="177"/>
      <c r="D426" s="177"/>
      <c r="E426" s="177"/>
      <c r="F426" s="177"/>
      <c r="G426" s="177"/>
      <c r="H426" s="177"/>
      <c r="I426" s="177"/>
      <c r="J426" s="177"/>
      <c r="K426" s="177"/>
      <c r="L426" s="177"/>
      <c r="M426" s="177"/>
      <c r="N426" s="177"/>
      <c r="O426" s="177"/>
      <c r="P426" s="177"/>
      <c r="Q426" s="177"/>
      <c r="R426" s="177"/>
      <c r="S426" s="177"/>
      <c r="T426" s="177"/>
      <c r="U426" s="177"/>
      <c r="V426" s="177"/>
      <c r="W426" s="177"/>
      <c r="X426" s="177"/>
      <c r="Y426" s="177"/>
      <c r="Z426" s="177"/>
      <c r="AA426" s="177"/>
      <c r="AB426" s="177"/>
      <c r="AC426" s="177"/>
    </row>
    <row r="427">
      <c r="A427" s="177"/>
      <c r="B427" s="177"/>
      <c r="C427" s="177"/>
      <c r="D427" s="177"/>
      <c r="E427" s="177"/>
      <c r="F427" s="177"/>
      <c r="G427" s="177"/>
      <c r="H427" s="177"/>
      <c r="I427" s="177"/>
      <c r="J427" s="177"/>
      <c r="K427" s="177"/>
      <c r="L427" s="177"/>
      <c r="M427" s="177"/>
      <c r="N427" s="177"/>
      <c r="O427" s="177"/>
      <c r="P427" s="177"/>
      <c r="Q427" s="177"/>
      <c r="R427" s="177"/>
      <c r="S427" s="177"/>
      <c r="T427" s="177"/>
      <c r="U427" s="177"/>
      <c r="V427" s="177"/>
      <c r="W427" s="177"/>
      <c r="X427" s="177"/>
      <c r="Y427" s="177"/>
      <c r="Z427" s="177"/>
      <c r="AA427" s="177"/>
      <c r="AB427" s="177"/>
      <c r="AC427" s="177"/>
    </row>
    <row r="428">
      <c r="A428" s="177"/>
      <c r="B428" s="177"/>
      <c r="C428" s="177"/>
      <c r="D428" s="177"/>
      <c r="E428" s="177"/>
      <c r="F428" s="177"/>
      <c r="G428" s="177"/>
      <c r="H428" s="177"/>
      <c r="I428" s="177"/>
      <c r="J428" s="177"/>
      <c r="K428" s="177"/>
      <c r="L428" s="177"/>
      <c r="M428" s="177"/>
      <c r="N428" s="177"/>
      <c r="O428" s="177"/>
      <c r="P428" s="177"/>
      <c r="Q428" s="177"/>
      <c r="R428" s="177"/>
      <c r="S428" s="177"/>
      <c r="T428" s="177"/>
      <c r="U428" s="177"/>
      <c r="V428" s="177"/>
      <c r="W428" s="177"/>
      <c r="X428" s="177"/>
      <c r="Y428" s="177"/>
      <c r="Z428" s="177"/>
      <c r="AA428" s="177"/>
      <c r="AB428" s="177"/>
      <c r="AC428" s="177"/>
    </row>
    <row r="429">
      <c r="A429" s="177"/>
      <c r="B429" s="177"/>
      <c r="C429" s="177"/>
      <c r="D429" s="177"/>
      <c r="E429" s="177"/>
      <c r="F429" s="177"/>
      <c r="G429" s="177"/>
      <c r="H429" s="177"/>
      <c r="I429" s="177"/>
      <c r="J429" s="177"/>
      <c r="K429" s="177"/>
      <c r="L429" s="177"/>
      <c r="M429" s="177"/>
      <c r="N429" s="177"/>
      <c r="O429" s="177"/>
      <c r="P429" s="177"/>
      <c r="Q429" s="177"/>
      <c r="R429" s="177"/>
      <c r="S429" s="177"/>
      <c r="T429" s="177"/>
      <c r="U429" s="177"/>
      <c r="V429" s="177"/>
      <c r="W429" s="177"/>
      <c r="X429" s="177"/>
      <c r="Y429" s="177"/>
      <c r="Z429" s="177"/>
      <c r="AA429" s="177"/>
      <c r="AB429" s="177"/>
      <c r="AC429" s="177"/>
    </row>
    <row r="430">
      <c r="A430" s="177"/>
      <c r="B430" s="177"/>
      <c r="C430" s="177"/>
      <c r="D430" s="177"/>
      <c r="E430" s="177"/>
      <c r="F430" s="177"/>
      <c r="G430" s="177"/>
      <c r="H430" s="177"/>
      <c r="I430" s="177"/>
      <c r="J430" s="177"/>
      <c r="K430" s="177"/>
      <c r="L430" s="177"/>
      <c r="M430" s="177"/>
      <c r="N430" s="177"/>
      <c r="O430" s="177"/>
      <c r="P430" s="177"/>
      <c r="Q430" s="177"/>
      <c r="R430" s="177"/>
      <c r="S430" s="177"/>
      <c r="T430" s="177"/>
      <c r="U430" s="177"/>
      <c r="V430" s="177"/>
      <c r="W430" s="177"/>
      <c r="X430" s="177"/>
      <c r="Y430" s="177"/>
      <c r="Z430" s="177"/>
      <c r="AA430" s="177"/>
      <c r="AB430" s="177"/>
      <c r="AC430" s="177"/>
    </row>
    <row r="431">
      <c r="A431" s="177"/>
      <c r="B431" s="177"/>
      <c r="C431" s="177"/>
      <c r="D431" s="177"/>
      <c r="E431" s="177"/>
      <c r="F431" s="177"/>
      <c r="G431" s="177"/>
      <c r="H431" s="177"/>
      <c r="I431" s="177"/>
      <c r="J431" s="177"/>
      <c r="K431" s="177"/>
      <c r="L431" s="177"/>
      <c r="M431" s="177"/>
      <c r="N431" s="177"/>
      <c r="O431" s="177"/>
      <c r="P431" s="177"/>
      <c r="Q431" s="177"/>
      <c r="R431" s="177"/>
      <c r="S431" s="177"/>
      <c r="T431" s="177"/>
      <c r="U431" s="177"/>
      <c r="V431" s="177"/>
      <c r="W431" s="177"/>
      <c r="X431" s="177"/>
      <c r="Y431" s="177"/>
      <c r="Z431" s="177"/>
      <c r="AA431" s="177"/>
      <c r="AB431" s="177"/>
      <c r="AC431" s="177"/>
    </row>
    <row r="432">
      <c r="A432" s="177"/>
      <c r="B432" s="177"/>
      <c r="C432" s="177"/>
      <c r="D432" s="177"/>
      <c r="E432" s="177"/>
      <c r="F432" s="177"/>
      <c r="G432" s="177"/>
      <c r="H432" s="177"/>
      <c r="I432" s="177"/>
      <c r="J432" s="177"/>
      <c r="K432" s="177"/>
      <c r="L432" s="177"/>
      <c r="M432" s="177"/>
      <c r="N432" s="177"/>
      <c r="O432" s="177"/>
      <c r="P432" s="177"/>
      <c r="Q432" s="177"/>
      <c r="R432" s="177"/>
      <c r="S432" s="177"/>
      <c r="T432" s="177"/>
      <c r="U432" s="177"/>
      <c r="V432" s="177"/>
      <c r="W432" s="177"/>
      <c r="X432" s="177"/>
      <c r="Y432" s="177"/>
      <c r="Z432" s="177"/>
      <c r="AA432" s="177"/>
      <c r="AB432" s="177"/>
      <c r="AC432" s="177"/>
    </row>
    <row r="433">
      <c r="A433" s="177"/>
      <c r="B433" s="177"/>
      <c r="C433" s="177"/>
      <c r="D433" s="177"/>
      <c r="E433" s="177"/>
      <c r="F433" s="177"/>
      <c r="G433" s="177"/>
      <c r="H433" s="177"/>
      <c r="I433" s="177"/>
      <c r="J433" s="177"/>
      <c r="K433" s="177"/>
      <c r="L433" s="177"/>
      <c r="M433" s="177"/>
      <c r="N433" s="177"/>
      <c r="O433" s="177"/>
      <c r="P433" s="177"/>
      <c r="Q433" s="177"/>
      <c r="R433" s="177"/>
      <c r="S433" s="177"/>
      <c r="T433" s="177"/>
      <c r="U433" s="177"/>
      <c r="V433" s="177"/>
      <c r="W433" s="177"/>
      <c r="X433" s="177"/>
      <c r="Y433" s="177"/>
      <c r="Z433" s="177"/>
      <c r="AA433" s="177"/>
      <c r="AB433" s="177"/>
      <c r="AC433" s="177"/>
    </row>
    <row r="434">
      <c r="A434" s="177"/>
      <c r="B434" s="177"/>
      <c r="C434" s="177"/>
      <c r="D434" s="177"/>
      <c r="E434" s="177"/>
      <c r="F434" s="177"/>
      <c r="G434" s="177"/>
      <c r="H434" s="177"/>
      <c r="I434" s="177"/>
      <c r="J434" s="177"/>
      <c r="K434" s="177"/>
      <c r="L434" s="177"/>
      <c r="M434" s="177"/>
      <c r="N434" s="177"/>
      <c r="O434" s="177"/>
      <c r="P434" s="177"/>
      <c r="Q434" s="177"/>
      <c r="R434" s="177"/>
      <c r="S434" s="177"/>
      <c r="T434" s="177"/>
      <c r="U434" s="177"/>
      <c r="V434" s="177"/>
      <c r="W434" s="177"/>
      <c r="X434" s="177"/>
      <c r="Y434" s="177"/>
      <c r="Z434" s="177"/>
      <c r="AA434" s="177"/>
      <c r="AB434" s="177"/>
      <c r="AC434" s="177"/>
    </row>
    <row r="435">
      <c r="A435" s="177"/>
      <c r="B435" s="177"/>
      <c r="C435" s="177"/>
      <c r="D435" s="177"/>
      <c r="E435" s="177"/>
      <c r="F435" s="177"/>
      <c r="G435" s="177"/>
      <c r="H435" s="177"/>
      <c r="I435" s="177"/>
      <c r="J435" s="177"/>
      <c r="K435" s="177"/>
      <c r="L435" s="177"/>
      <c r="M435" s="177"/>
      <c r="N435" s="177"/>
      <c r="O435" s="177"/>
      <c r="P435" s="177"/>
      <c r="Q435" s="177"/>
      <c r="R435" s="177"/>
      <c r="S435" s="177"/>
      <c r="T435" s="177"/>
      <c r="U435" s="177"/>
      <c r="V435" s="177"/>
      <c r="W435" s="177"/>
      <c r="X435" s="177"/>
      <c r="Y435" s="177"/>
      <c r="Z435" s="177"/>
      <c r="AA435" s="177"/>
      <c r="AB435" s="177"/>
      <c r="AC435" s="177"/>
    </row>
    <row r="436">
      <c r="A436" s="177"/>
      <c r="B436" s="177"/>
      <c r="C436" s="177"/>
      <c r="D436" s="177"/>
      <c r="E436" s="177"/>
      <c r="F436" s="177"/>
      <c r="G436" s="177"/>
      <c r="H436" s="177"/>
      <c r="I436" s="177"/>
      <c r="J436" s="177"/>
      <c r="K436" s="177"/>
      <c r="L436" s="177"/>
      <c r="M436" s="177"/>
      <c r="N436" s="177"/>
      <c r="O436" s="177"/>
      <c r="P436" s="177"/>
      <c r="Q436" s="177"/>
      <c r="R436" s="177"/>
      <c r="S436" s="177"/>
      <c r="T436" s="177"/>
      <c r="U436" s="177"/>
      <c r="V436" s="177"/>
      <c r="W436" s="177"/>
      <c r="X436" s="177"/>
      <c r="Y436" s="177"/>
      <c r="Z436" s="177"/>
      <c r="AA436" s="177"/>
      <c r="AB436" s="177"/>
      <c r="AC436" s="177"/>
    </row>
    <row r="437">
      <c r="A437" s="177"/>
      <c r="B437" s="177"/>
      <c r="C437" s="177"/>
      <c r="D437" s="177"/>
      <c r="E437" s="177"/>
      <c r="F437" s="177"/>
      <c r="G437" s="177"/>
      <c r="H437" s="177"/>
      <c r="I437" s="177"/>
      <c r="J437" s="177"/>
      <c r="K437" s="177"/>
      <c r="L437" s="177"/>
      <c r="M437" s="177"/>
      <c r="N437" s="177"/>
      <c r="O437" s="177"/>
      <c r="P437" s="177"/>
      <c r="Q437" s="177"/>
      <c r="R437" s="177"/>
      <c r="S437" s="177"/>
      <c r="T437" s="177"/>
      <c r="U437" s="177"/>
      <c r="V437" s="177"/>
      <c r="W437" s="177"/>
      <c r="X437" s="177"/>
      <c r="Y437" s="177"/>
      <c r="Z437" s="177"/>
      <c r="AA437" s="177"/>
      <c r="AB437" s="177"/>
      <c r="AC437" s="177"/>
    </row>
    <row r="438">
      <c r="A438" s="177"/>
      <c r="B438" s="177"/>
      <c r="C438" s="177"/>
      <c r="D438" s="177"/>
      <c r="E438" s="177"/>
      <c r="F438" s="177"/>
      <c r="G438" s="177"/>
      <c r="H438" s="177"/>
      <c r="I438" s="177"/>
      <c r="J438" s="177"/>
      <c r="K438" s="177"/>
      <c r="L438" s="177"/>
      <c r="M438" s="177"/>
      <c r="N438" s="177"/>
      <c r="O438" s="177"/>
      <c r="P438" s="177"/>
      <c r="Q438" s="177"/>
      <c r="R438" s="177"/>
      <c r="S438" s="177"/>
      <c r="T438" s="177"/>
      <c r="U438" s="177"/>
      <c r="V438" s="177"/>
      <c r="W438" s="177"/>
      <c r="X438" s="177"/>
      <c r="Y438" s="177"/>
      <c r="Z438" s="177"/>
      <c r="AA438" s="177"/>
      <c r="AB438" s="177"/>
      <c r="AC438" s="177"/>
    </row>
    <row r="439">
      <c r="A439" s="177"/>
      <c r="B439" s="177"/>
      <c r="C439" s="177"/>
      <c r="D439" s="177"/>
      <c r="E439" s="177"/>
      <c r="F439" s="177"/>
      <c r="G439" s="177"/>
      <c r="H439" s="177"/>
      <c r="I439" s="177"/>
      <c r="J439" s="177"/>
      <c r="K439" s="177"/>
      <c r="L439" s="177"/>
      <c r="M439" s="177"/>
      <c r="N439" s="177"/>
      <c r="O439" s="177"/>
      <c r="P439" s="177"/>
      <c r="Q439" s="177"/>
      <c r="R439" s="177"/>
      <c r="S439" s="177"/>
      <c r="T439" s="177"/>
      <c r="U439" s="177"/>
      <c r="V439" s="177"/>
      <c r="W439" s="177"/>
      <c r="X439" s="177"/>
      <c r="Y439" s="177"/>
      <c r="Z439" s="177"/>
      <c r="AA439" s="177"/>
      <c r="AB439" s="177"/>
      <c r="AC439" s="177"/>
    </row>
    <row r="440">
      <c r="A440" s="177"/>
      <c r="B440" s="177"/>
      <c r="C440" s="177"/>
      <c r="D440" s="177"/>
      <c r="E440" s="177"/>
      <c r="F440" s="177"/>
      <c r="G440" s="177"/>
      <c r="H440" s="177"/>
      <c r="I440" s="177"/>
      <c r="J440" s="177"/>
      <c r="K440" s="177"/>
      <c r="L440" s="177"/>
      <c r="M440" s="177"/>
      <c r="N440" s="177"/>
      <c r="O440" s="177"/>
      <c r="P440" s="177"/>
      <c r="Q440" s="177"/>
      <c r="R440" s="177"/>
      <c r="S440" s="177"/>
      <c r="T440" s="177"/>
      <c r="U440" s="177"/>
      <c r="V440" s="177"/>
      <c r="W440" s="177"/>
      <c r="X440" s="177"/>
      <c r="Y440" s="177"/>
      <c r="Z440" s="177"/>
      <c r="AA440" s="177"/>
      <c r="AB440" s="177"/>
      <c r="AC440" s="177"/>
    </row>
    <row r="441">
      <c r="A441" s="177"/>
      <c r="B441" s="177"/>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c r="AB441" s="177"/>
      <c r="AC441" s="177"/>
    </row>
    <row r="442">
      <c r="A442" s="177"/>
      <c r="B442" s="177"/>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c r="AB442" s="177"/>
      <c r="AC442" s="177"/>
    </row>
    <row r="443">
      <c r="A443" s="177"/>
      <c r="B443" s="177"/>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c r="AB443" s="177"/>
      <c r="AC443" s="177"/>
    </row>
    <row r="444">
      <c r="A444" s="177"/>
      <c r="B444" s="177"/>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c r="AB444" s="177"/>
      <c r="AC444" s="177"/>
    </row>
    <row r="445">
      <c r="A445" s="177"/>
      <c r="B445" s="177"/>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c r="AB445" s="177"/>
      <c r="AC445" s="177"/>
    </row>
    <row r="446">
      <c r="A446" s="177"/>
      <c r="B446" s="177"/>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c r="AB446" s="177"/>
      <c r="AC446" s="177"/>
    </row>
    <row r="447">
      <c r="A447" s="177"/>
      <c r="B447" s="177"/>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c r="AB447" s="177"/>
      <c r="AC447" s="177"/>
    </row>
    <row r="448">
      <c r="A448" s="177"/>
      <c r="B448" s="177"/>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c r="AB448" s="177"/>
      <c r="AC448" s="177"/>
    </row>
    <row r="449">
      <c r="A449" s="177"/>
      <c r="B449" s="177"/>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c r="AB449" s="177"/>
      <c r="AC449" s="177"/>
    </row>
    <row r="450">
      <c r="A450" s="177"/>
      <c r="B450" s="177"/>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c r="AB450" s="177"/>
      <c r="AC450" s="177"/>
    </row>
    <row r="451">
      <c r="A451" s="177"/>
      <c r="B451" s="177"/>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c r="AB451" s="177"/>
      <c r="AC451" s="177"/>
    </row>
    <row r="452">
      <c r="A452" s="177"/>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row>
    <row r="453">
      <c r="A453" s="177"/>
      <c r="B453" s="177"/>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c r="AB453" s="177"/>
      <c r="AC453" s="177"/>
    </row>
    <row r="454">
      <c r="A454" s="177"/>
      <c r="B454" s="177"/>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c r="AB454" s="177"/>
      <c r="AC454" s="177"/>
    </row>
    <row r="455">
      <c r="A455" s="177"/>
      <c r="B455" s="177"/>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c r="AB455" s="177"/>
      <c r="AC455" s="177"/>
    </row>
    <row r="456">
      <c r="A456" s="177"/>
      <c r="B456" s="177"/>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c r="AB456" s="177"/>
      <c r="AC456" s="177"/>
    </row>
    <row r="457">
      <c r="A457" s="177"/>
      <c r="B457" s="177"/>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c r="AB457" s="177"/>
      <c r="AC457" s="177"/>
    </row>
    <row r="458">
      <c r="A458" s="177"/>
      <c r="B458" s="177"/>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c r="AB458" s="177"/>
      <c r="AC458" s="177"/>
    </row>
    <row r="459">
      <c r="A459" s="177"/>
      <c r="B459" s="177"/>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c r="AB459" s="177"/>
      <c r="AC459" s="177"/>
    </row>
    <row r="460">
      <c r="A460" s="177"/>
      <c r="B460" s="177"/>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c r="AB460" s="177"/>
      <c r="AC460" s="177"/>
    </row>
    <row r="461">
      <c r="A461" s="177"/>
      <c r="B461" s="177"/>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c r="AB461" s="177"/>
      <c r="AC461" s="177"/>
    </row>
    <row r="462">
      <c r="A462" s="177"/>
      <c r="B462" s="177"/>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c r="AB462" s="177"/>
      <c r="AC462" s="177"/>
    </row>
    <row r="463">
      <c r="A463" s="177"/>
      <c r="B463" s="177"/>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c r="AB463" s="177"/>
      <c r="AC463" s="177"/>
    </row>
    <row r="464">
      <c r="A464" s="177"/>
      <c r="B464" s="177"/>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c r="AB464" s="177"/>
      <c r="AC464" s="177"/>
    </row>
    <row r="465">
      <c r="A465" s="177"/>
      <c r="B465" s="177"/>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c r="AB465" s="177"/>
      <c r="AC465" s="177"/>
    </row>
    <row r="466">
      <c r="A466" s="177"/>
      <c r="B466" s="177"/>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c r="AB466" s="177"/>
      <c r="AC466" s="177"/>
    </row>
    <row r="467">
      <c r="A467" s="177"/>
      <c r="B467" s="177"/>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c r="AB467" s="177"/>
      <c r="AC467" s="177"/>
    </row>
    <row r="468">
      <c r="A468" s="177"/>
      <c r="B468" s="177"/>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c r="AB468" s="177"/>
      <c r="AC468" s="177"/>
    </row>
    <row r="469">
      <c r="A469" s="177"/>
      <c r="B469" s="177"/>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c r="AB469" s="177"/>
      <c r="AC469" s="177"/>
    </row>
    <row r="470">
      <c r="A470" s="177"/>
      <c r="B470" s="177"/>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c r="AB470" s="177"/>
      <c r="AC470" s="177"/>
    </row>
    <row r="471">
      <c r="A471" s="177"/>
      <c r="B471" s="177"/>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c r="AB471" s="177"/>
      <c r="AC471" s="177"/>
    </row>
    <row r="472">
      <c r="A472" s="177"/>
      <c r="B472" s="177"/>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c r="AB472" s="177"/>
      <c r="AC472" s="177"/>
    </row>
    <row r="473">
      <c r="A473" s="177"/>
      <c r="B473" s="177"/>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c r="AB473" s="177"/>
      <c r="AC473" s="177"/>
    </row>
    <row r="474">
      <c r="A474" s="177"/>
      <c r="B474" s="177"/>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c r="AB474" s="177"/>
      <c r="AC474" s="177"/>
    </row>
    <row r="475">
      <c r="A475" s="177"/>
      <c r="B475" s="177"/>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c r="AB475" s="177"/>
      <c r="AC475" s="177"/>
    </row>
    <row r="476">
      <c r="A476" s="177"/>
      <c r="B476" s="177"/>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c r="AB476" s="177"/>
      <c r="AC476" s="177"/>
    </row>
    <row r="477">
      <c r="A477" s="177"/>
      <c r="B477" s="177"/>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c r="AB477" s="177"/>
      <c r="AC477" s="177"/>
    </row>
    <row r="478">
      <c r="A478" s="177"/>
      <c r="B478" s="177"/>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c r="AB478" s="177"/>
      <c r="AC478" s="177"/>
    </row>
    <row r="479">
      <c r="A479" s="177"/>
      <c r="B479" s="177"/>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c r="AB479" s="177"/>
      <c r="AC479" s="177"/>
    </row>
    <row r="480">
      <c r="A480" s="177"/>
      <c r="B480" s="177"/>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c r="AB480" s="177"/>
      <c r="AC480" s="177"/>
    </row>
    <row r="481">
      <c r="A481" s="177"/>
      <c r="B481" s="177"/>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c r="AB481" s="177"/>
      <c r="AC481" s="177"/>
    </row>
    <row r="482">
      <c r="A482" s="177"/>
      <c r="B482" s="177"/>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c r="AB482" s="177"/>
      <c r="AC482" s="177"/>
    </row>
    <row r="483">
      <c r="A483" s="177"/>
      <c r="B483" s="177"/>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c r="AB483" s="177"/>
      <c r="AC483" s="177"/>
    </row>
    <row r="484">
      <c r="A484" s="177"/>
      <c r="B484" s="177"/>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c r="AB484" s="177"/>
      <c r="AC484" s="177"/>
    </row>
    <row r="485">
      <c r="A485" s="177"/>
      <c r="B485" s="177"/>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c r="AB485" s="177"/>
      <c r="AC485" s="177"/>
    </row>
    <row r="486">
      <c r="A486" s="177"/>
      <c r="B486" s="177"/>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c r="AB486" s="177"/>
      <c r="AC486" s="177"/>
    </row>
    <row r="487">
      <c r="A487" s="177"/>
      <c r="B487" s="177"/>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c r="AB487" s="177"/>
      <c r="AC487" s="177"/>
    </row>
    <row r="488">
      <c r="A488" s="177"/>
      <c r="B488" s="177"/>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c r="AB488" s="177"/>
      <c r="AC488" s="177"/>
    </row>
    <row r="489">
      <c r="A489" s="177"/>
      <c r="B489" s="177"/>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c r="AB489" s="177"/>
      <c r="AC489" s="177"/>
    </row>
    <row r="490">
      <c r="A490" s="177"/>
      <c r="B490" s="177"/>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c r="AB490" s="177"/>
      <c r="AC490" s="177"/>
    </row>
    <row r="491">
      <c r="A491" s="177"/>
      <c r="B491" s="177"/>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c r="AB491" s="177"/>
      <c r="AC491" s="177"/>
    </row>
    <row r="492">
      <c r="A492" s="177"/>
      <c r="B492" s="177"/>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c r="AB492" s="177"/>
      <c r="AC492" s="177"/>
    </row>
    <row r="493">
      <c r="A493" s="177"/>
      <c r="B493" s="177"/>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c r="AB493" s="177"/>
      <c r="AC493" s="177"/>
    </row>
    <row r="494">
      <c r="A494" s="177"/>
      <c r="B494" s="177"/>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c r="AB494" s="177"/>
      <c r="AC494" s="177"/>
    </row>
    <row r="495">
      <c r="A495" s="177"/>
      <c r="B495" s="177"/>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c r="AB495" s="177"/>
      <c r="AC495" s="177"/>
    </row>
    <row r="496">
      <c r="A496" s="177"/>
      <c r="B496" s="177"/>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c r="AB496" s="177"/>
      <c r="AC496" s="177"/>
    </row>
    <row r="497">
      <c r="A497" s="177"/>
      <c r="B497" s="177"/>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c r="AB497" s="177"/>
      <c r="AC497" s="177"/>
    </row>
    <row r="498">
      <c r="A498" s="177"/>
      <c r="B498" s="177"/>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c r="AB498" s="177"/>
      <c r="AC498" s="177"/>
    </row>
    <row r="499">
      <c r="A499" s="177"/>
      <c r="B499" s="177"/>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c r="AB499" s="177"/>
      <c r="AC499" s="177"/>
    </row>
    <row r="500">
      <c r="A500" s="177"/>
      <c r="B500" s="177"/>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row>
    <row r="501">
      <c r="A501" s="177"/>
      <c r="B501" s="177"/>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c r="AB501" s="177"/>
      <c r="AC501" s="177"/>
    </row>
    <row r="502">
      <c r="A502" s="177"/>
      <c r="B502" s="177"/>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c r="AB502" s="177"/>
      <c r="AC502" s="177"/>
    </row>
    <row r="503">
      <c r="A503" s="177"/>
      <c r="B503" s="177"/>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c r="AB503" s="177"/>
      <c r="AC503" s="177"/>
    </row>
    <row r="504">
      <c r="A504" s="177"/>
      <c r="B504" s="177"/>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c r="AB504" s="177"/>
      <c r="AC504" s="177"/>
    </row>
    <row r="505">
      <c r="A505" s="177"/>
      <c r="B505" s="177"/>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c r="AB505" s="177"/>
      <c r="AC505" s="177"/>
    </row>
    <row r="506">
      <c r="A506" s="177"/>
      <c r="B506" s="177"/>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c r="AB506" s="177"/>
      <c r="AC506" s="177"/>
    </row>
    <row r="507">
      <c r="A507" s="177"/>
      <c r="B507" s="177"/>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c r="AB507" s="177"/>
      <c r="AC507" s="177"/>
    </row>
    <row r="508">
      <c r="A508" s="177"/>
      <c r="B508" s="177"/>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c r="AB508" s="177"/>
      <c r="AC508" s="177"/>
    </row>
    <row r="509">
      <c r="A509" s="177"/>
      <c r="B509" s="177"/>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c r="AB509" s="177"/>
      <c r="AC509" s="177"/>
    </row>
    <row r="510">
      <c r="A510" s="177"/>
      <c r="B510" s="177"/>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c r="AB510" s="177"/>
      <c r="AC510" s="177"/>
    </row>
    <row r="511">
      <c r="A511" s="177"/>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row>
    <row r="512">
      <c r="A512" s="177"/>
      <c r="B512" s="177"/>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c r="AB512" s="177"/>
      <c r="AC512" s="177"/>
    </row>
    <row r="513">
      <c r="A513" s="177"/>
      <c r="B513" s="177"/>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c r="AB513" s="177"/>
      <c r="AC513" s="177"/>
    </row>
    <row r="514">
      <c r="A514" s="177"/>
      <c r="B514" s="177"/>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c r="AB514" s="177"/>
      <c r="AC514" s="177"/>
    </row>
    <row r="515">
      <c r="A515" s="177"/>
      <c r="B515" s="177"/>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c r="AB515" s="177"/>
      <c r="AC515" s="177"/>
    </row>
    <row r="516">
      <c r="A516" s="177"/>
      <c r="B516" s="177"/>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c r="AB516" s="177"/>
      <c r="AC516" s="177"/>
    </row>
    <row r="517">
      <c r="A517" s="177"/>
      <c r="B517" s="177"/>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c r="AB517" s="177"/>
      <c r="AC517" s="177"/>
    </row>
    <row r="518">
      <c r="A518" s="177"/>
      <c r="B518" s="177"/>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c r="AB518" s="177"/>
      <c r="AC518" s="177"/>
    </row>
    <row r="519">
      <c r="A519" s="177"/>
      <c r="B519" s="177"/>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c r="AB519" s="177"/>
      <c r="AC519" s="177"/>
    </row>
    <row r="520">
      <c r="A520" s="177"/>
      <c r="B520" s="177"/>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c r="AB520" s="177"/>
      <c r="AC520" s="177"/>
    </row>
    <row r="521">
      <c r="A521" s="177"/>
      <c r="B521" s="177"/>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c r="AB521" s="177"/>
      <c r="AC521" s="177"/>
    </row>
    <row r="522">
      <c r="A522" s="177"/>
      <c r="B522" s="177"/>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c r="AB522" s="177"/>
      <c r="AC522" s="177"/>
    </row>
    <row r="523">
      <c r="A523" s="177"/>
      <c r="B523" s="177"/>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c r="AB523" s="177"/>
      <c r="AC523" s="177"/>
    </row>
    <row r="524">
      <c r="A524" s="177"/>
      <c r="B524" s="177"/>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c r="AB524" s="177"/>
      <c r="AC524" s="177"/>
    </row>
    <row r="525">
      <c r="A525" s="177"/>
      <c r="B525" s="177"/>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c r="AB525" s="177"/>
      <c r="AC525" s="177"/>
    </row>
    <row r="526">
      <c r="A526" s="177"/>
      <c r="B526" s="177"/>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c r="AB526" s="177"/>
      <c r="AC526" s="177"/>
    </row>
    <row r="527">
      <c r="A527" s="177"/>
      <c r="B527" s="177"/>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c r="AB527" s="177"/>
      <c r="AC527" s="177"/>
    </row>
    <row r="528">
      <c r="A528" s="177"/>
      <c r="B528" s="177"/>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c r="AB528" s="177"/>
      <c r="AC528" s="177"/>
    </row>
    <row r="529">
      <c r="A529" s="177"/>
      <c r="B529" s="177"/>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c r="AB529" s="177"/>
      <c r="AC529" s="177"/>
    </row>
    <row r="530">
      <c r="A530" s="177"/>
      <c r="B530" s="177"/>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c r="AB530" s="177"/>
      <c r="AC530" s="177"/>
    </row>
    <row r="531">
      <c r="A531" s="177"/>
      <c r="B531" s="177"/>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c r="AB531" s="177"/>
      <c r="AC531" s="177"/>
    </row>
    <row r="532">
      <c r="A532" s="177"/>
      <c r="B532" s="177"/>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c r="AB532" s="177"/>
      <c r="AC532" s="177"/>
    </row>
    <row r="533">
      <c r="A533" s="177"/>
      <c r="B533" s="177"/>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c r="AB533" s="177"/>
      <c r="AC533" s="177"/>
    </row>
    <row r="534">
      <c r="A534" s="177"/>
      <c r="B534" s="177"/>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c r="AB534" s="177"/>
      <c r="AC534" s="177"/>
    </row>
    <row r="535">
      <c r="A535" s="177"/>
      <c r="B535" s="177"/>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c r="AB535" s="177"/>
      <c r="AC535" s="177"/>
    </row>
    <row r="536">
      <c r="A536" s="177"/>
      <c r="B536" s="177"/>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c r="AB536" s="177"/>
      <c r="AC536" s="177"/>
    </row>
    <row r="537">
      <c r="A537" s="177"/>
      <c r="B537" s="177"/>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c r="AB537" s="177"/>
      <c r="AC537" s="177"/>
    </row>
    <row r="538">
      <c r="A538" s="177"/>
      <c r="B538" s="177"/>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c r="AB538" s="177"/>
      <c r="AC538" s="177"/>
    </row>
    <row r="539">
      <c r="A539" s="177"/>
      <c r="B539" s="177"/>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c r="AB539" s="177"/>
      <c r="AC539" s="177"/>
    </row>
    <row r="540">
      <c r="A540" s="177"/>
      <c r="B540" s="177"/>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c r="AB540" s="177"/>
      <c r="AC540" s="177"/>
    </row>
    <row r="541">
      <c r="A541" s="177"/>
      <c r="B541" s="177"/>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c r="AB541" s="177"/>
      <c r="AC541" s="177"/>
    </row>
    <row r="542">
      <c r="A542" s="177"/>
      <c r="B542" s="177"/>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c r="AB542" s="177"/>
      <c r="AC542" s="177"/>
    </row>
    <row r="543">
      <c r="A543" s="177"/>
      <c r="B543" s="177"/>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c r="AB543" s="177"/>
      <c r="AC543" s="177"/>
    </row>
    <row r="544">
      <c r="A544" s="177"/>
      <c r="B544" s="177"/>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c r="AB544" s="177"/>
      <c r="AC544" s="177"/>
    </row>
    <row r="545">
      <c r="A545" s="177"/>
      <c r="B545" s="177"/>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c r="AB545" s="177"/>
      <c r="AC545" s="177"/>
    </row>
    <row r="546">
      <c r="A546" s="177"/>
      <c r="B546" s="177"/>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c r="AB546" s="177"/>
      <c r="AC546" s="177"/>
    </row>
    <row r="547">
      <c r="A547" s="177"/>
      <c r="B547" s="177"/>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c r="AB547" s="177"/>
      <c r="AC547" s="177"/>
    </row>
    <row r="548">
      <c r="A548" s="177"/>
      <c r="B548" s="177"/>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c r="AB548" s="177"/>
      <c r="AC548" s="177"/>
    </row>
    <row r="549">
      <c r="A549" s="177"/>
      <c r="B549" s="177"/>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c r="AB549" s="177"/>
      <c r="AC549" s="177"/>
    </row>
    <row r="550">
      <c r="A550" s="177"/>
      <c r="B550" s="177"/>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c r="AB550" s="177"/>
      <c r="AC550" s="177"/>
    </row>
    <row r="551">
      <c r="A551" s="177"/>
      <c r="B551" s="177"/>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c r="AB551" s="177"/>
      <c r="AC551" s="177"/>
    </row>
    <row r="552">
      <c r="A552" s="177"/>
      <c r="B552" s="177"/>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c r="AB552" s="177"/>
      <c r="AC552" s="177"/>
    </row>
    <row r="553">
      <c r="A553" s="177"/>
      <c r="B553" s="177"/>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c r="AB553" s="177"/>
      <c r="AC553" s="177"/>
    </row>
    <row r="554">
      <c r="A554" s="177"/>
      <c r="B554" s="177"/>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c r="AB554" s="177"/>
      <c r="AC554" s="177"/>
    </row>
    <row r="555">
      <c r="A555" s="177"/>
      <c r="B555" s="177"/>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c r="AB555" s="177"/>
      <c r="AC555" s="177"/>
    </row>
    <row r="556">
      <c r="A556" s="177"/>
      <c r="B556" s="177"/>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c r="AB556" s="177"/>
      <c r="AC556" s="177"/>
    </row>
    <row r="557">
      <c r="A557" s="177"/>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row>
    <row r="558">
      <c r="A558" s="177"/>
      <c r="B558" s="177"/>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c r="AB558" s="177"/>
      <c r="AC558" s="177"/>
    </row>
    <row r="559">
      <c r="A559" s="177"/>
      <c r="B559" s="177"/>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c r="AB559" s="177"/>
      <c r="AC559" s="177"/>
    </row>
    <row r="560">
      <c r="A560" s="177"/>
      <c r="B560" s="177"/>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c r="AB560" s="177"/>
      <c r="AC560" s="177"/>
    </row>
    <row r="561">
      <c r="A561" s="177"/>
      <c r="B561" s="177"/>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c r="AB561" s="177"/>
      <c r="AC561" s="177"/>
    </row>
    <row r="562">
      <c r="A562" s="177"/>
      <c r="B562" s="177"/>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c r="AB562" s="177"/>
      <c r="AC562" s="177"/>
    </row>
    <row r="563">
      <c r="A563" s="177"/>
      <c r="B563" s="177"/>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c r="AB563" s="177"/>
      <c r="AC563" s="177"/>
    </row>
    <row r="564">
      <c r="A564" s="177"/>
      <c r="B564" s="177"/>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c r="AB564" s="177"/>
      <c r="AC564" s="177"/>
    </row>
    <row r="565">
      <c r="A565" s="177"/>
      <c r="B565" s="177"/>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c r="AB565" s="177"/>
      <c r="AC565" s="177"/>
    </row>
    <row r="566">
      <c r="A566" s="177"/>
      <c r="B566" s="177"/>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c r="AB566" s="177"/>
      <c r="AC566" s="177"/>
    </row>
    <row r="567">
      <c r="A567" s="177"/>
      <c r="B567" s="177"/>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c r="AB567" s="177"/>
      <c r="AC567" s="177"/>
    </row>
    <row r="568">
      <c r="A568" s="177"/>
      <c r="B568" s="177"/>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c r="AB568" s="177"/>
      <c r="AC568" s="177"/>
    </row>
    <row r="569">
      <c r="A569" s="177"/>
      <c r="B569" s="177"/>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c r="AB569" s="177"/>
      <c r="AC569" s="177"/>
    </row>
    <row r="570">
      <c r="A570" s="177"/>
      <c r="B570" s="177"/>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c r="AB570" s="177"/>
      <c r="AC570" s="177"/>
    </row>
    <row r="571">
      <c r="A571" s="177"/>
      <c r="B571" s="177"/>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c r="AB571" s="177"/>
      <c r="AC571" s="177"/>
    </row>
    <row r="572">
      <c r="A572" s="177"/>
      <c r="B572" s="177"/>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c r="AB572" s="177"/>
      <c r="AC572" s="177"/>
    </row>
    <row r="573">
      <c r="A573" s="177"/>
      <c r="B573" s="177"/>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c r="AB573" s="177"/>
      <c r="AC573" s="177"/>
    </row>
    <row r="574">
      <c r="A574" s="177"/>
      <c r="B574" s="177"/>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c r="AB574" s="177"/>
      <c r="AC574" s="177"/>
    </row>
    <row r="575">
      <c r="A575" s="177"/>
      <c r="B575" s="177"/>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c r="AB575" s="177"/>
      <c r="AC575" s="177"/>
    </row>
    <row r="576">
      <c r="A576" s="177"/>
      <c r="B576" s="177"/>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c r="AB576" s="177"/>
      <c r="AC576" s="177"/>
    </row>
    <row r="577">
      <c r="A577" s="177"/>
      <c r="B577" s="177"/>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c r="AB577" s="177"/>
      <c r="AC577" s="177"/>
    </row>
    <row r="578">
      <c r="A578" s="177"/>
      <c r="B578" s="177"/>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c r="AB578" s="177"/>
      <c r="AC578" s="177"/>
    </row>
    <row r="579">
      <c r="A579" s="177"/>
      <c r="B579" s="177"/>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c r="AB579" s="177"/>
      <c r="AC579" s="177"/>
    </row>
    <row r="580">
      <c r="A580" s="177"/>
      <c r="B580" s="177"/>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c r="AB580" s="177"/>
      <c r="AC580" s="177"/>
    </row>
    <row r="581">
      <c r="A581" s="177"/>
      <c r="B581" s="177"/>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c r="AB581" s="177"/>
      <c r="AC581" s="177"/>
    </row>
    <row r="582">
      <c r="A582" s="177"/>
      <c r="B582" s="177"/>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c r="AB582" s="177"/>
      <c r="AC582" s="177"/>
    </row>
    <row r="583">
      <c r="A583" s="177"/>
      <c r="B583" s="177"/>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c r="AB583" s="177"/>
      <c r="AC583" s="177"/>
    </row>
    <row r="584">
      <c r="A584" s="177"/>
      <c r="B584" s="177"/>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c r="AB584" s="177"/>
      <c r="AC584" s="177"/>
    </row>
    <row r="585">
      <c r="A585" s="177"/>
      <c r="B585" s="177"/>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c r="AB585" s="177"/>
      <c r="AC585" s="177"/>
    </row>
    <row r="586">
      <c r="A586" s="177"/>
      <c r="B586" s="177"/>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c r="AB586" s="177"/>
      <c r="AC586" s="177"/>
    </row>
    <row r="587">
      <c r="A587" s="177"/>
      <c r="B587" s="177"/>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c r="AB587" s="177"/>
      <c r="AC587" s="177"/>
    </row>
    <row r="588">
      <c r="A588" s="177"/>
      <c r="B588" s="177"/>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c r="AB588" s="177"/>
      <c r="AC588" s="177"/>
    </row>
    <row r="589">
      <c r="A589" s="177"/>
      <c r="B589" s="177"/>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c r="AB589" s="177"/>
      <c r="AC589" s="177"/>
    </row>
    <row r="590">
      <c r="A590" s="177"/>
      <c r="B590" s="177"/>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c r="AB590" s="177"/>
      <c r="AC590" s="177"/>
    </row>
    <row r="591">
      <c r="A591" s="177"/>
      <c r="B591" s="177"/>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c r="AB591" s="177"/>
      <c r="AC591" s="177"/>
    </row>
    <row r="592">
      <c r="A592" s="177"/>
      <c r="B592" s="177"/>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c r="AB592" s="177"/>
      <c r="AC592" s="177"/>
    </row>
    <row r="593">
      <c r="A593" s="177"/>
      <c r="B593" s="177"/>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c r="AB593" s="177"/>
      <c r="AC593" s="177"/>
    </row>
    <row r="594">
      <c r="A594" s="177"/>
      <c r="B594" s="177"/>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c r="AB594" s="177"/>
      <c r="AC594" s="177"/>
    </row>
    <row r="595">
      <c r="A595" s="177"/>
      <c r="B595" s="177"/>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c r="AB595" s="177"/>
      <c r="AC595" s="177"/>
    </row>
    <row r="596">
      <c r="A596" s="177"/>
      <c r="B596" s="177"/>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c r="AB596" s="177"/>
      <c r="AC596" s="177"/>
    </row>
    <row r="597">
      <c r="A597" s="177"/>
      <c r="B597" s="177"/>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c r="AB597" s="177"/>
      <c r="AC597" s="177"/>
    </row>
    <row r="598">
      <c r="A598" s="177"/>
      <c r="B598" s="177"/>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c r="AB598" s="177"/>
      <c r="AC598" s="177"/>
    </row>
    <row r="599">
      <c r="A599" s="177"/>
      <c r="B599" s="177"/>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c r="AB599" s="177"/>
      <c r="AC599" s="177"/>
    </row>
    <row r="600">
      <c r="A600" s="177"/>
      <c r="B600" s="177"/>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c r="AB600" s="177"/>
      <c r="AC600" s="177"/>
    </row>
    <row r="601">
      <c r="A601" s="177"/>
      <c r="B601" s="177"/>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c r="AB601" s="177"/>
      <c r="AC601" s="177"/>
    </row>
    <row r="602">
      <c r="A602" s="177"/>
      <c r="B602" s="177"/>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c r="AB602" s="177"/>
      <c r="AC602" s="177"/>
    </row>
    <row r="603">
      <c r="A603" s="177"/>
      <c r="B603" s="177"/>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c r="AB603" s="177"/>
      <c r="AC603" s="177"/>
    </row>
    <row r="604">
      <c r="A604" s="177"/>
      <c r="B604" s="177"/>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c r="AB604" s="177"/>
      <c r="AC604" s="177"/>
    </row>
    <row r="605">
      <c r="A605" s="177"/>
      <c r="B605" s="177"/>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c r="AB605" s="177"/>
      <c r="AC605" s="177"/>
    </row>
    <row r="606">
      <c r="A606" s="177"/>
      <c r="B606" s="177"/>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c r="AB606" s="177"/>
      <c r="AC606" s="177"/>
    </row>
    <row r="607">
      <c r="A607" s="177"/>
      <c r="B607" s="177"/>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c r="AB607" s="177"/>
      <c r="AC607" s="177"/>
    </row>
    <row r="608">
      <c r="A608" s="177"/>
      <c r="B608" s="177"/>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c r="AB608" s="177"/>
      <c r="AC608" s="177"/>
    </row>
    <row r="609">
      <c r="A609" s="177"/>
      <c r="B609" s="177"/>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c r="AB609" s="177"/>
      <c r="AC609" s="177"/>
    </row>
    <row r="610">
      <c r="A610" s="177"/>
      <c r="B610" s="177"/>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c r="AB610" s="177"/>
      <c r="AC610" s="177"/>
    </row>
    <row r="611">
      <c r="A611" s="177"/>
      <c r="B611" s="177"/>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c r="AB611" s="177"/>
      <c r="AC611" s="177"/>
    </row>
    <row r="612">
      <c r="A612" s="177"/>
      <c r="B612" s="177"/>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c r="AB612" s="177"/>
      <c r="AC612" s="177"/>
    </row>
    <row r="613">
      <c r="A613" s="177"/>
      <c r="B613" s="177"/>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c r="AB613" s="177"/>
      <c r="AC613" s="177"/>
    </row>
    <row r="614">
      <c r="A614" s="177"/>
      <c r="B614" s="177"/>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c r="AB614" s="177"/>
      <c r="AC614" s="177"/>
    </row>
    <row r="615">
      <c r="A615" s="177"/>
      <c r="B615" s="177"/>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c r="AB615" s="177"/>
      <c r="AC615" s="177"/>
    </row>
    <row r="616">
      <c r="A616" s="177"/>
      <c r="B616" s="177"/>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c r="AB616" s="177"/>
      <c r="AC616" s="177"/>
    </row>
    <row r="617">
      <c r="A617" s="177"/>
      <c r="B617" s="177"/>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c r="AB617" s="177"/>
      <c r="AC617" s="177"/>
    </row>
    <row r="618">
      <c r="A618" s="177"/>
      <c r="B618" s="177"/>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c r="AB618" s="177"/>
      <c r="AC618" s="177"/>
    </row>
    <row r="619">
      <c r="A619" s="177"/>
      <c r="B619" s="177"/>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c r="AB619" s="177"/>
      <c r="AC619" s="177"/>
    </row>
    <row r="620">
      <c r="A620" s="177"/>
      <c r="B620" s="177"/>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c r="AB620" s="177"/>
      <c r="AC620" s="177"/>
    </row>
    <row r="621">
      <c r="A621" s="177"/>
      <c r="B621" s="177"/>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c r="AB621" s="177"/>
      <c r="AC621" s="177"/>
    </row>
    <row r="622">
      <c r="A622" s="177"/>
      <c r="B622" s="177"/>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c r="AB622" s="177"/>
      <c r="AC622" s="177"/>
    </row>
    <row r="623">
      <c r="A623" s="177"/>
      <c r="B623" s="177"/>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c r="AB623" s="177"/>
      <c r="AC623" s="177"/>
    </row>
    <row r="624">
      <c r="A624" s="177"/>
      <c r="B624" s="177"/>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c r="AB624" s="177"/>
      <c r="AC624" s="177"/>
    </row>
    <row r="625">
      <c r="A625" s="177"/>
      <c r="B625" s="177"/>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c r="AB625" s="177"/>
      <c r="AC625" s="177"/>
    </row>
    <row r="626">
      <c r="A626" s="177"/>
      <c r="B626" s="177"/>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c r="AB626" s="177"/>
      <c r="AC626" s="177"/>
    </row>
    <row r="627">
      <c r="A627" s="177"/>
      <c r="B627" s="177"/>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c r="AB627" s="177"/>
      <c r="AC627" s="177"/>
    </row>
    <row r="628">
      <c r="A628" s="177"/>
      <c r="B628" s="177"/>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c r="AB628" s="177"/>
      <c r="AC628" s="177"/>
    </row>
    <row r="629">
      <c r="A629" s="177"/>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c r="AB629" s="177"/>
      <c r="AC629" s="177"/>
    </row>
    <row r="630">
      <c r="A630" s="177"/>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c r="AB630" s="177"/>
      <c r="AC630" s="177"/>
    </row>
    <row r="631">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row>
    <row r="632">
      <c r="A632" s="177"/>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row>
    <row r="633">
      <c r="A633" s="177"/>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row>
    <row r="634">
      <c r="A634" s="177"/>
      <c r="B634" s="177"/>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c r="AB634" s="177"/>
      <c r="AC634" s="177"/>
    </row>
    <row r="635">
      <c r="A635" s="177"/>
      <c r="B635" s="177"/>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c r="AB635" s="177"/>
      <c r="AC635" s="177"/>
    </row>
    <row r="636">
      <c r="A636" s="177"/>
      <c r="B636" s="177"/>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c r="AB636" s="177"/>
      <c r="AC636" s="177"/>
    </row>
    <row r="637">
      <c r="A637" s="177"/>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row>
    <row r="638">
      <c r="A638" s="177"/>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row>
    <row r="639">
      <c r="A639" s="177"/>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row>
    <row r="640">
      <c r="A640" s="177"/>
      <c r="B640" s="177"/>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c r="AB640" s="177"/>
      <c r="AC640" s="177"/>
    </row>
    <row r="641">
      <c r="A641" s="177"/>
      <c r="B641" s="177"/>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c r="AB641" s="177"/>
      <c r="AC641" s="177"/>
    </row>
    <row r="642">
      <c r="A642" s="177"/>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row>
    <row r="643">
      <c r="A643" s="177"/>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row>
    <row r="644">
      <c r="A644" s="177"/>
      <c r="B644" s="177"/>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c r="AB644" s="177"/>
      <c r="AC644" s="177"/>
    </row>
    <row r="645">
      <c r="A645" s="177"/>
      <c r="B645" s="177"/>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c r="AB645" s="177"/>
      <c r="AC645" s="177"/>
    </row>
    <row r="646">
      <c r="A646" s="177"/>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row>
    <row r="647">
      <c r="A647" s="177"/>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row>
    <row r="648">
      <c r="A648" s="177"/>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row>
    <row r="649">
      <c r="A649" s="177"/>
      <c r="B649" s="177"/>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c r="AB649" s="177"/>
      <c r="AC649" s="177"/>
    </row>
    <row r="650">
      <c r="A650" s="177"/>
      <c r="B650" s="177"/>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c r="AB650" s="177"/>
      <c r="AC650" s="177"/>
    </row>
    <row r="651">
      <c r="A651" s="177"/>
      <c r="B651" s="177"/>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c r="AB651" s="177"/>
      <c r="AC651" s="177"/>
    </row>
    <row r="652">
      <c r="A652" s="177"/>
      <c r="B652" s="177"/>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c r="AB652" s="177"/>
      <c r="AC652" s="177"/>
    </row>
    <row r="653">
      <c r="A653" s="177"/>
      <c r="B653" s="177"/>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c r="AB653" s="177"/>
      <c r="AC653" s="177"/>
    </row>
    <row r="654">
      <c r="A654" s="177"/>
      <c r="B654" s="177"/>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c r="AB654" s="177"/>
      <c r="AC654" s="177"/>
    </row>
    <row r="655">
      <c r="A655" s="177"/>
      <c r="B655" s="177"/>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c r="AB655" s="177"/>
      <c r="AC655" s="177"/>
    </row>
    <row r="656">
      <c r="A656" s="177"/>
      <c r="B656" s="177"/>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c r="AB656" s="177"/>
      <c r="AC656" s="177"/>
    </row>
    <row r="657">
      <c r="A657" s="177"/>
      <c r="B657" s="177"/>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c r="AB657" s="177"/>
      <c r="AC657" s="177"/>
    </row>
    <row r="658">
      <c r="A658" s="177"/>
      <c r="B658" s="177"/>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c r="AB658" s="177"/>
      <c r="AC658" s="177"/>
    </row>
    <row r="659">
      <c r="A659" s="177"/>
      <c r="B659" s="177"/>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c r="AB659" s="177"/>
      <c r="AC659" s="177"/>
    </row>
    <row r="660">
      <c r="A660" s="177"/>
      <c r="B660" s="177"/>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c r="AB660" s="177"/>
      <c r="AC660" s="177"/>
    </row>
    <row r="661">
      <c r="A661" s="177"/>
      <c r="B661" s="177"/>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c r="AB661" s="177"/>
      <c r="AC661" s="177"/>
    </row>
    <row r="662">
      <c r="A662" s="177"/>
      <c r="B662" s="177"/>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c r="AB662" s="177"/>
      <c r="AC662" s="177"/>
    </row>
    <row r="663">
      <c r="A663" s="177"/>
      <c r="B663" s="177"/>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c r="AB663" s="177"/>
      <c r="AC663" s="177"/>
    </row>
    <row r="664">
      <c r="A664" s="177"/>
      <c r="B664" s="177"/>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c r="AB664" s="177"/>
      <c r="AC664" s="177"/>
    </row>
    <row r="665">
      <c r="A665" s="177"/>
      <c r="B665" s="177"/>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c r="AB665" s="177"/>
      <c r="AC665" s="177"/>
    </row>
    <row r="666">
      <c r="A666" s="177"/>
      <c r="B666" s="177"/>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c r="AB666" s="177"/>
      <c r="AC666" s="177"/>
    </row>
    <row r="667">
      <c r="A667" s="177"/>
      <c r="B667" s="177"/>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c r="AB667" s="177"/>
      <c r="AC667" s="177"/>
    </row>
    <row r="668">
      <c r="A668" s="177"/>
      <c r="B668" s="177"/>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c r="AB668" s="177"/>
      <c r="AC668" s="177"/>
    </row>
    <row r="669">
      <c r="A669" s="177"/>
      <c r="B669" s="177"/>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c r="AB669" s="177"/>
      <c r="AC669" s="177"/>
    </row>
    <row r="670">
      <c r="A670" s="177"/>
      <c r="B670" s="177"/>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c r="AB670" s="177"/>
      <c r="AC670" s="177"/>
    </row>
    <row r="671">
      <c r="A671" s="177"/>
      <c r="B671" s="177"/>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c r="AB671" s="177"/>
      <c r="AC671" s="177"/>
    </row>
    <row r="672">
      <c r="A672" s="177"/>
      <c r="B672" s="177"/>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c r="AB672" s="177"/>
      <c r="AC672" s="177"/>
    </row>
    <row r="673">
      <c r="A673" s="177"/>
      <c r="B673" s="177"/>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c r="AB673" s="177"/>
      <c r="AC673" s="177"/>
    </row>
    <row r="674">
      <c r="A674" s="177"/>
      <c r="B674" s="177"/>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c r="AB674" s="177"/>
      <c r="AC674" s="177"/>
    </row>
    <row r="675">
      <c r="A675" s="177"/>
      <c r="B675" s="177"/>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c r="AB675" s="177"/>
      <c r="AC675" s="177"/>
    </row>
    <row r="676">
      <c r="A676" s="177"/>
      <c r="B676" s="177"/>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c r="AB676" s="177"/>
      <c r="AC676" s="177"/>
    </row>
    <row r="677">
      <c r="A677" s="177"/>
      <c r="B677" s="177"/>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c r="AB677" s="177"/>
      <c r="AC677" s="177"/>
    </row>
    <row r="678">
      <c r="A678" s="177"/>
      <c r="B678" s="177"/>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c r="AB678" s="177"/>
      <c r="AC678" s="177"/>
    </row>
    <row r="679">
      <c r="A679" s="177"/>
      <c r="B679" s="177"/>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c r="AB679" s="177"/>
      <c r="AC679" s="177"/>
    </row>
    <row r="680">
      <c r="A680" s="177"/>
      <c r="B680" s="177"/>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c r="AB680" s="177"/>
      <c r="AC680" s="177"/>
    </row>
    <row r="681">
      <c r="A681" s="177"/>
      <c r="B681" s="177"/>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c r="AB681" s="177"/>
      <c r="AC681" s="177"/>
    </row>
    <row r="682">
      <c r="A682" s="177"/>
      <c r="B682" s="177"/>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c r="AB682" s="177"/>
      <c r="AC682" s="177"/>
    </row>
    <row r="683">
      <c r="A683" s="177"/>
      <c r="B683" s="177"/>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c r="AB683" s="177"/>
      <c r="AC683" s="177"/>
    </row>
    <row r="684">
      <c r="A684" s="177"/>
      <c r="B684" s="177"/>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c r="AB684" s="177"/>
      <c r="AC684" s="177"/>
    </row>
    <row r="685">
      <c r="A685" s="177"/>
      <c r="B685" s="177"/>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c r="AB685" s="177"/>
      <c r="AC685" s="177"/>
    </row>
    <row r="686">
      <c r="A686" s="177"/>
      <c r="B686" s="177"/>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c r="AB686" s="177"/>
      <c r="AC686" s="177"/>
    </row>
    <row r="687">
      <c r="A687" s="177"/>
      <c r="B687" s="177"/>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c r="AB687" s="177"/>
      <c r="AC687" s="177"/>
    </row>
    <row r="688">
      <c r="A688" s="177"/>
      <c r="B688" s="177"/>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c r="AB688" s="177"/>
      <c r="AC688" s="177"/>
    </row>
    <row r="689">
      <c r="A689" s="177"/>
      <c r="B689" s="177"/>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c r="AB689" s="177"/>
      <c r="AC689" s="177"/>
    </row>
    <row r="690">
      <c r="A690" s="177"/>
      <c r="B690" s="177"/>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c r="AB690" s="177"/>
      <c r="AC690" s="177"/>
    </row>
    <row r="691">
      <c r="A691" s="177"/>
      <c r="B691" s="177"/>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c r="AB691" s="177"/>
      <c r="AC691" s="177"/>
    </row>
    <row r="692">
      <c r="A692" s="177"/>
      <c r="B692" s="177"/>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c r="AB692" s="177"/>
      <c r="AC692" s="177"/>
    </row>
    <row r="693">
      <c r="A693" s="177"/>
      <c r="B693" s="177"/>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c r="AB693" s="177"/>
      <c r="AC693" s="177"/>
    </row>
    <row r="694">
      <c r="A694" s="177"/>
      <c r="B694" s="177"/>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c r="AB694" s="177"/>
      <c r="AC694" s="177"/>
    </row>
    <row r="695">
      <c r="A695" s="177"/>
      <c r="B695" s="177"/>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c r="AB695" s="177"/>
      <c r="AC695" s="177"/>
    </row>
    <row r="696">
      <c r="A696" s="177"/>
      <c r="B696" s="177"/>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c r="AB696" s="177"/>
      <c r="AC696" s="177"/>
    </row>
    <row r="697">
      <c r="A697" s="177"/>
      <c r="B697" s="177"/>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c r="AB697" s="177"/>
      <c r="AC697" s="177"/>
    </row>
    <row r="698">
      <c r="A698" s="177"/>
      <c r="B698" s="177"/>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c r="AB698" s="177"/>
      <c r="AC698" s="177"/>
    </row>
    <row r="699">
      <c r="A699" s="177"/>
      <c r="B699" s="177"/>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c r="AB699" s="177"/>
      <c r="AC699" s="177"/>
    </row>
    <row r="700">
      <c r="A700" s="177"/>
      <c r="B700" s="177"/>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c r="AB700" s="177"/>
      <c r="AC700" s="177"/>
    </row>
    <row r="701">
      <c r="A701" s="177"/>
      <c r="B701" s="177"/>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c r="AB701" s="177"/>
      <c r="AC701" s="177"/>
    </row>
    <row r="702">
      <c r="A702" s="177"/>
      <c r="B702" s="177"/>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c r="AB702" s="177"/>
      <c r="AC702" s="177"/>
    </row>
    <row r="703">
      <c r="A703" s="177"/>
      <c r="B703" s="177"/>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c r="AB703" s="177"/>
      <c r="AC703" s="177"/>
    </row>
    <row r="704">
      <c r="A704" s="177"/>
      <c r="B704" s="177"/>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c r="AB704" s="177"/>
      <c r="AC704" s="177"/>
    </row>
    <row r="705">
      <c r="A705" s="177"/>
      <c r="B705" s="177"/>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c r="AB705" s="177"/>
      <c r="AC705" s="177"/>
    </row>
    <row r="706">
      <c r="A706" s="177"/>
      <c r="B706" s="177"/>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c r="AB706" s="177"/>
      <c r="AC706" s="177"/>
    </row>
    <row r="707">
      <c r="A707" s="177"/>
      <c r="B707" s="177"/>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c r="AB707" s="177"/>
      <c r="AC707" s="177"/>
    </row>
    <row r="708">
      <c r="A708" s="177"/>
      <c r="B708" s="177"/>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c r="AB708" s="177"/>
      <c r="AC708" s="177"/>
    </row>
    <row r="709">
      <c r="A709" s="177"/>
      <c r="B709" s="177"/>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c r="AB709" s="177"/>
      <c r="AC709" s="177"/>
    </row>
    <row r="710">
      <c r="A710" s="177"/>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row>
    <row r="711">
      <c r="A711" s="177"/>
      <c r="B711" s="177"/>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c r="AB711" s="177"/>
      <c r="AC711" s="177"/>
    </row>
    <row r="712">
      <c r="A712" s="177"/>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row>
    <row r="713">
      <c r="A713" s="177"/>
      <c r="B713" s="177"/>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c r="AB713" s="177"/>
      <c r="AC713" s="177"/>
    </row>
    <row r="714">
      <c r="A714" s="177"/>
      <c r="B714" s="177"/>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c r="AB714" s="177"/>
      <c r="AC714" s="177"/>
    </row>
    <row r="715">
      <c r="A715" s="177"/>
      <c r="B715" s="177"/>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c r="AB715" s="177"/>
      <c r="AC715" s="177"/>
    </row>
    <row r="716">
      <c r="A716" s="177"/>
      <c r="B716" s="177"/>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c r="AB716" s="177"/>
      <c r="AC716" s="177"/>
    </row>
    <row r="717">
      <c r="A717" s="177"/>
      <c r="B717" s="177"/>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c r="AB717" s="177"/>
      <c r="AC717" s="177"/>
    </row>
    <row r="718">
      <c r="A718" s="177"/>
      <c r="B718" s="177"/>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c r="AB718" s="177"/>
      <c r="AC718" s="177"/>
    </row>
    <row r="719">
      <c r="A719" s="177"/>
      <c r="B719" s="177"/>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c r="AB719" s="177"/>
      <c r="AC719" s="177"/>
    </row>
    <row r="720">
      <c r="A720" s="177"/>
      <c r="B720" s="177"/>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c r="AB720" s="177"/>
      <c r="AC720" s="177"/>
    </row>
    <row r="721">
      <c r="A721" s="177"/>
      <c r="B721" s="177"/>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c r="AB721" s="177"/>
      <c r="AC721" s="177"/>
    </row>
    <row r="722">
      <c r="A722" s="177"/>
      <c r="B722" s="177"/>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c r="AB722" s="177"/>
      <c r="AC722" s="177"/>
    </row>
    <row r="723">
      <c r="A723" s="177"/>
      <c r="B723" s="177"/>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c r="AB723" s="177"/>
      <c r="AC723" s="177"/>
    </row>
    <row r="724">
      <c r="A724" s="177"/>
      <c r="B724" s="177"/>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c r="AB724" s="177"/>
      <c r="AC724" s="177"/>
    </row>
    <row r="725">
      <c r="A725" s="177"/>
      <c r="B725" s="177"/>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c r="AB725" s="177"/>
      <c r="AC725" s="177"/>
    </row>
    <row r="726">
      <c r="A726" s="177"/>
      <c r="B726" s="177"/>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c r="AB726" s="177"/>
      <c r="AC726" s="177"/>
    </row>
    <row r="727">
      <c r="A727" s="177"/>
      <c r="B727" s="177"/>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c r="AB727" s="177"/>
      <c r="AC727" s="177"/>
    </row>
    <row r="728">
      <c r="A728" s="177"/>
      <c r="B728" s="177"/>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c r="AB728" s="177"/>
      <c r="AC728" s="177"/>
    </row>
    <row r="729">
      <c r="A729" s="177"/>
      <c r="B729" s="177"/>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c r="AB729" s="177"/>
      <c r="AC729" s="177"/>
    </row>
    <row r="730">
      <c r="A730" s="177"/>
      <c r="B730" s="177"/>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c r="AB730" s="177"/>
      <c r="AC730" s="177"/>
    </row>
    <row r="731">
      <c r="A731" s="177"/>
      <c r="B731" s="177"/>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c r="AB731" s="177"/>
      <c r="AC731" s="177"/>
    </row>
    <row r="732">
      <c r="A732" s="177"/>
      <c r="B732" s="177"/>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c r="AB732" s="177"/>
      <c r="AC732" s="177"/>
    </row>
    <row r="733">
      <c r="A733" s="177"/>
      <c r="B733" s="177"/>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c r="AB733" s="177"/>
      <c r="AC733" s="177"/>
    </row>
    <row r="734">
      <c r="A734" s="177"/>
      <c r="B734" s="177"/>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c r="AB734" s="177"/>
      <c r="AC734" s="177"/>
    </row>
    <row r="735">
      <c r="A735" s="177"/>
      <c r="B735" s="177"/>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c r="AB735" s="177"/>
      <c r="AC735" s="177"/>
    </row>
    <row r="736">
      <c r="A736" s="177"/>
      <c r="B736" s="177"/>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c r="AB736" s="177"/>
      <c r="AC736" s="177"/>
    </row>
    <row r="737">
      <c r="A737" s="177"/>
      <c r="B737" s="177"/>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c r="AB737" s="177"/>
      <c r="AC737" s="177"/>
    </row>
    <row r="738">
      <c r="A738" s="177"/>
      <c r="B738" s="177"/>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c r="AB738" s="177"/>
      <c r="AC738" s="177"/>
    </row>
    <row r="739">
      <c r="A739" s="177"/>
      <c r="B739" s="177"/>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c r="AB739" s="177"/>
      <c r="AC739" s="177"/>
    </row>
    <row r="740">
      <c r="A740" s="177"/>
      <c r="B740" s="177"/>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c r="AB740" s="177"/>
      <c r="AC740" s="177"/>
    </row>
    <row r="741">
      <c r="A741" s="177"/>
      <c r="B741" s="177"/>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c r="AB741" s="177"/>
      <c r="AC741" s="177"/>
    </row>
    <row r="742">
      <c r="A742" s="177"/>
      <c r="B742" s="177"/>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c r="AB742" s="177"/>
      <c r="AC742" s="177"/>
    </row>
    <row r="743">
      <c r="A743" s="177"/>
      <c r="B743" s="177"/>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c r="AB743" s="177"/>
      <c r="AC743" s="177"/>
    </row>
    <row r="744">
      <c r="A744" s="177"/>
      <c r="B744" s="177"/>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c r="AB744" s="177"/>
      <c r="AC744" s="177"/>
    </row>
    <row r="745">
      <c r="A745" s="177"/>
      <c r="B745" s="177"/>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c r="AB745" s="177"/>
      <c r="AC745" s="177"/>
    </row>
    <row r="746">
      <c r="A746" s="177"/>
      <c r="B746" s="177"/>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c r="AB746" s="177"/>
      <c r="AC746" s="177"/>
    </row>
    <row r="747">
      <c r="A747" s="177"/>
      <c r="B747" s="177"/>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c r="AB747" s="177"/>
      <c r="AC747" s="177"/>
    </row>
    <row r="748">
      <c r="A748" s="177"/>
      <c r="B748" s="177"/>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c r="AB748" s="177"/>
      <c r="AC748" s="177"/>
    </row>
    <row r="749">
      <c r="A749" s="177"/>
      <c r="B749" s="177"/>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c r="AB749" s="177"/>
      <c r="AC749" s="177"/>
    </row>
    <row r="750">
      <c r="A750" s="177"/>
      <c r="B750" s="177"/>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c r="AB750" s="177"/>
      <c r="AC750" s="177"/>
    </row>
    <row r="751">
      <c r="A751" s="177"/>
      <c r="B751" s="177"/>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c r="AB751" s="177"/>
      <c r="AC751" s="177"/>
    </row>
    <row r="752">
      <c r="A752" s="177"/>
      <c r="B752" s="177"/>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c r="AB752" s="177"/>
      <c r="AC752" s="177"/>
    </row>
    <row r="753">
      <c r="A753" s="177"/>
      <c r="B753" s="177"/>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c r="AB753" s="177"/>
      <c r="AC753" s="177"/>
    </row>
    <row r="754">
      <c r="A754" s="177"/>
      <c r="B754" s="177"/>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c r="AB754" s="177"/>
      <c r="AC754" s="177"/>
    </row>
    <row r="755">
      <c r="A755" s="177"/>
      <c r="B755" s="177"/>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c r="AB755" s="177"/>
      <c r="AC755" s="177"/>
    </row>
    <row r="756">
      <c r="A756" s="177"/>
      <c r="B756" s="177"/>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c r="AB756" s="177"/>
      <c r="AC756" s="177"/>
    </row>
    <row r="757">
      <c r="A757" s="177"/>
      <c r="B757" s="177"/>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c r="AB757" s="177"/>
      <c r="AC757" s="177"/>
    </row>
    <row r="758">
      <c r="A758" s="177"/>
      <c r="B758" s="177"/>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c r="AB758" s="177"/>
      <c r="AC758" s="177"/>
    </row>
    <row r="759">
      <c r="A759" s="177"/>
      <c r="B759" s="177"/>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c r="AB759" s="177"/>
      <c r="AC759" s="177"/>
    </row>
    <row r="760">
      <c r="A760" s="177"/>
      <c r="B760" s="177"/>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c r="AB760" s="177"/>
      <c r="AC760" s="177"/>
    </row>
    <row r="761">
      <c r="A761" s="177"/>
      <c r="B761" s="177"/>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c r="AB761" s="177"/>
      <c r="AC761" s="177"/>
    </row>
    <row r="762">
      <c r="A762" s="177"/>
      <c r="B762" s="177"/>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c r="AB762" s="177"/>
      <c r="AC762" s="177"/>
    </row>
    <row r="763">
      <c r="A763" s="177"/>
      <c r="B763" s="177"/>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c r="AB763" s="177"/>
      <c r="AC763" s="177"/>
    </row>
    <row r="764">
      <c r="A764" s="177"/>
      <c r="B764" s="177"/>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c r="AB764" s="177"/>
      <c r="AC764" s="177"/>
    </row>
    <row r="765">
      <c r="A765" s="177"/>
      <c r="B765" s="177"/>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c r="AB765" s="177"/>
      <c r="AC765" s="177"/>
    </row>
    <row r="766">
      <c r="A766" s="177"/>
      <c r="B766" s="177"/>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c r="AB766" s="177"/>
      <c r="AC766" s="177"/>
    </row>
    <row r="767">
      <c r="A767" s="177"/>
      <c r="B767" s="177"/>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c r="AB767" s="177"/>
      <c r="AC767" s="177"/>
    </row>
    <row r="768">
      <c r="A768" s="177"/>
      <c r="B768" s="177"/>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c r="AB768" s="177"/>
      <c r="AC768" s="177"/>
    </row>
    <row r="769">
      <c r="A769" s="177"/>
      <c r="B769" s="177"/>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c r="AB769" s="177"/>
      <c r="AC769" s="177"/>
    </row>
    <row r="770">
      <c r="A770" s="177"/>
      <c r="B770" s="177"/>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c r="AB770" s="177"/>
      <c r="AC770" s="177"/>
    </row>
    <row r="771">
      <c r="A771" s="177"/>
      <c r="B771" s="177"/>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c r="AB771" s="177"/>
      <c r="AC771" s="177"/>
    </row>
    <row r="772">
      <c r="A772" s="177"/>
      <c r="B772" s="177"/>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c r="AB772" s="177"/>
      <c r="AC772" s="177"/>
    </row>
    <row r="773">
      <c r="A773" s="177"/>
      <c r="B773" s="177"/>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c r="AB773" s="177"/>
      <c r="AC773" s="177"/>
    </row>
    <row r="774">
      <c r="A774" s="177"/>
      <c r="B774" s="177"/>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c r="AB774" s="177"/>
      <c r="AC774" s="177"/>
    </row>
    <row r="775">
      <c r="A775" s="177"/>
      <c r="B775" s="177"/>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c r="AB775" s="177"/>
      <c r="AC775" s="177"/>
    </row>
    <row r="776">
      <c r="A776" s="177"/>
      <c r="B776" s="177"/>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c r="AB776" s="177"/>
      <c r="AC776" s="177"/>
    </row>
    <row r="777">
      <c r="A777" s="177"/>
      <c r="B777" s="177"/>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c r="AB777" s="177"/>
      <c r="AC777" s="177"/>
    </row>
    <row r="778">
      <c r="A778" s="177"/>
      <c r="B778" s="177"/>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c r="AB778" s="177"/>
      <c r="AC778" s="177"/>
    </row>
    <row r="779">
      <c r="A779" s="177"/>
      <c r="B779" s="177"/>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c r="AB779" s="177"/>
      <c r="AC779" s="177"/>
    </row>
    <row r="780">
      <c r="A780" s="177"/>
      <c r="B780" s="177"/>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c r="AB780" s="177"/>
      <c r="AC780" s="177"/>
    </row>
    <row r="781">
      <c r="A781" s="177"/>
      <c r="B781" s="177"/>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c r="AB781" s="177"/>
      <c r="AC781" s="177"/>
    </row>
    <row r="782">
      <c r="A782" s="177"/>
      <c r="B782" s="177"/>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c r="AB782" s="177"/>
      <c r="AC782" s="177"/>
    </row>
    <row r="783">
      <c r="A783" s="177"/>
      <c r="B783" s="177"/>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c r="AB783" s="177"/>
      <c r="AC783" s="177"/>
    </row>
    <row r="784">
      <c r="A784" s="177"/>
      <c r="B784" s="177"/>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c r="AB784" s="177"/>
      <c r="AC784" s="177"/>
    </row>
    <row r="785">
      <c r="A785" s="177"/>
      <c r="B785" s="177"/>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c r="AB785" s="177"/>
      <c r="AC785" s="177"/>
    </row>
    <row r="786">
      <c r="A786" s="177"/>
      <c r="B786" s="177"/>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c r="AB786" s="177"/>
      <c r="AC786" s="177"/>
    </row>
    <row r="787">
      <c r="A787" s="177"/>
      <c r="B787" s="177"/>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c r="AB787" s="177"/>
      <c r="AC787" s="177"/>
    </row>
    <row r="788">
      <c r="A788" s="177"/>
      <c r="B788" s="177"/>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c r="AB788" s="177"/>
      <c r="AC788" s="177"/>
    </row>
    <row r="789">
      <c r="A789" s="177"/>
      <c r="B789" s="177"/>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c r="AB789" s="177"/>
      <c r="AC789" s="177"/>
    </row>
    <row r="790">
      <c r="A790" s="177"/>
      <c r="B790" s="177"/>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c r="AB790" s="177"/>
      <c r="AC790" s="177"/>
    </row>
    <row r="791">
      <c r="A791" s="177"/>
      <c r="B791" s="177"/>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c r="AB791" s="177"/>
      <c r="AC791" s="177"/>
    </row>
    <row r="792">
      <c r="A792" s="177"/>
      <c r="B792" s="177"/>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c r="AB792" s="177"/>
      <c r="AC792" s="177"/>
    </row>
    <row r="793">
      <c r="A793" s="177"/>
      <c r="B793" s="177"/>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c r="AB793" s="177"/>
      <c r="AC793" s="177"/>
    </row>
    <row r="794">
      <c r="A794" s="177"/>
      <c r="B794" s="177"/>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c r="AB794" s="177"/>
      <c r="AC794" s="177"/>
    </row>
    <row r="795">
      <c r="A795" s="177"/>
      <c r="B795" s="177"/>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c r="AB795" s="177"/>
      <c r="AC795" s="177"/>
    </row>
    <row r="796">
      <c r="A796" s="177"/>
      <c r="B796" s="177"/>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c r="AB796" s="177"/>
      <c r="AC796" s="177"/>
    </row>
    <row r="797">
      <c r="A797" s="177"/>
      <c r="B797" s="177"/>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c r="AB797" s="177"/>
      <c r="AC797" s="177"/>
    </row>
    <row r="798">
      <c r="A798" s="177"/>
      <c r="B798" s="177"/>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c r="AB798" s="177"/>
      <c r="AC798" s="177"/>
    </row>
    <row r="799">
      <c r="A799" s="177"/>
      <c r="B799" s="177"/>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c r="AB799" s="177"/>
      <c r="AC799" s="177"/>
    </row>
    <row r="800">
      <c r="A800" s="177"/>
      <c r="B800" s="177"/>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c r="AB800" s="177"/>
      <c r="AC800" s="177"/>
    </row>
    <row r="801">
      <c r="A801" s="177"/>
      <c r="B801" s="177"/>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c r="AB801" s="177"/>
      <c r="AC801" s="177"/>
    </row>
    <row r="802">
      <c r="A802" s="177"/>
      <c r="B802" s="177"/>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c r="AB802" s="177"/>
      <c r="AC802" s="177"/>
    </row>
    <row r="803">
      <c r="A803" s="177"/>
      <c r="B803" s="177"/>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c r="AB803" s="177"/>
      <c r="AC803" s="177"/>
    </row>
    <row r="804">
      <c r="A804" s="177"/>
      <c r="B804" s="177"/>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c r="AB804" s="177"/>
      <c r="AC804" s="177"/>
    </row>
    <row r="805">
      <c r="A805" s="177"/>
      <c r="B805" s="177"/>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c r="AB805" s="177"/>
      <c r="AC805" s="177"/>
    </row>
    <row r="806">
      <c r="A806" s="177"/>
      <c r="B806" s="177"/>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c r="AB806" s="177"/>
      <c r="AC806" s="177"/>
    </row>
    <row r="807">
      <c r="A807" s="177"/>
      <c r="B807" s="177"/>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c r="AB807" s="177"/>
      <c r="AC807" s="177"/>
    </row>
    <row r="808">
      <c r="A808" s="177"/>
      <c r="B808" s="177"/>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c r="AB808" s="177"/>
      <c r="AC808" s="177"/>
    </row>
    <row r="809">
      <c r="A809" s="177"/>
      <c r="B809" s="177"/>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c r="AB809" s="177"/>
      <c r="AC809" s="177"/>
    </row>
    <row r="810">
      <c r="A810" s="177"/>
      <c r="B810" s="177"/>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c r="AB810" s="177"/>
      <c r="AC810" s="177"/>
    </row>
    <row r="811">
      <c r="A811" s="177"/>
      <c r="B811" s="177"/>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c r="AB811" s="177"/>
      <c r="AC811" s="177"/>
    </row>
    <row r="812">
      <c r="A812" s="177"/>
      <c r="B812" s="177"/>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c r="AB812" s="177"/>
      <c r="AC812" s="177"/>
    </row>
    <row r="813">
      <c r="A813" s="177"/>
      <c r="B813" s="177"/>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c r="AB813" s="177"/>
      <c r="AC813" s="177"/>
    </row>
    <row r="814">
      <c r="A814" s="177"/>
      <c r="B814" s="177"/>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c r="AB814" s="177"/>
      <c r="AC814" s="177"/>
    </row>
    <row r="815">
      <c r="A815" s="177"/>
      <c r="B815" s="177"/>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c r="AB815" s="177"/>
      <c r="AC815" s="177"/>
    </row>
    <row r="816">
      <c r="A816" s="177"/>
      <c r="B816" s="177"/>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c r="AB816" s="177"/>
      <c r="AC816" s="177"/>
    </row>
    <row r="817">
      <c r="A817" s="177"/>
      <c r="B817" s="177"/>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c r="AB817" s="177"/>
      <c r="AC817" s="177"/>
    </row>
    <row r="818">
      <c r="A818" s="177"/>
      <c r="B818" s="177"/>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c r="AB818" s="177"/>
      <c r="AC818" s="177"/>
    </row>
    <row r="819">
      <c r="A819" s="177"/>
      <c r="B819" s="177"/>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c r="AB819" s="177"/>
      <c r="AC819" s="177"/>
    </row>
    <row r="820">
      <c r="A820" s="177"/>
      <c r="B820" s="177"/>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c r="AB820" s="177"/>
      <c r="AC820" s="177"/>
    </row>
    <row r="821">
      <c r="A821" s="177"/>
      <c r="B821" s="177"/>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c r="AB821" s="177"/>
      <c r="AC821" s="177"/>
    </row>
    <row r="822">
      <c r="A822" s="177"/>
      <c r="B822" s="177"/>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c r="AB822" s="177"/>
      <c r="AC822" s="177"/>
    </row>
    <row r="823">
      <c r="A823" s="177"/>
      <c r="B823" s="177"/>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c r="AB823" s="177"/>
      <c r="AC823" s="177"/>
    </row>
    <row r="824">
      <c r="A824" s="177"/>
      <c r="B824" s="177"/>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c r="AB824" s="177"/>
      <c r="AC824" s="177"/>
    </row>
    <row r="825">
      <c r="A825" s="177"/>
      <c r="B825" s="177"/>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c r="AB825" s="177"/>
      <c r="AC825" s="177"/>
    </row>
    <row r="826">
      <c r="A826" s="177"/>
      <c r="B826" s="177"/>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c r="AB826" s="177"/>
      <c r="AC826" s="177"/>
    </row>
    <row r="827">
      <c r="A827" s="177"/>
      <c r="B827" s="177"/>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c r="AB827" s="177"/>
      <c r="AC827" s="177"/>
    </row>
    <row r="828">
      <c r="A828" s="177"/>
      <c r="B828" s="177"/>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c r="AB828" s="177"/>
      <c r="AC828" s="177"/>
    </row>
    <row r="829">
      <c r="A829" s="177"/>
      <c r="B829" s="177"/>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c r="AB829" s="177"/>
      <c r="AC829" s="177"/>
    </row>
    <row r="830">
      <c r="A830" s="177"/>
      <c r="B830" s="177"/>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c r="AB830" s="177"/>
      <c r="AC830" s="177"/>
    </row>
    <row r="831">
      <c r="A831" s="177"/>
      <c r="B831" s="177"/>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c r="AB831" s="177"/>
      <c r="AC831" s="177"/>
    </row>
    <row r="832">
      <c r="A832" s="177"/>
      <c r="B832" s="177"/>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c r="AB832" s="177"/>
      <c r="AC832" s="177"/>
    </row>
    <row r="833">
      <c r="A833" s="177"/>
      <c r="B833" s="177"/>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c r="AB833" s="177"/>
      <c r="AC833" s="177"/>
    </row>
    <row r="834">
      <c r="A834" s="177"/>
      <c r="B834" s="177"/>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c r="AB834" s="177"/>
      <c r="AC834" s="177"/>
    </row>
    <row r="835">
      <c r="A835" s="177"/>
      <c r="B835" s="177"/>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c r="AB835" s="177"/>
      <c r="AC835" s="177"/>
    </row>
    <row r="836">
      <c r="A836" s="177"/>
      <c r="B836" s="177"/>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c r="AB836" s="177"/>
      <c r="AC836" s="177"/>
    </row>
    <row r="837">
      <c r="A837" s="177"/>
      <c r="B837" s="177"/>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c r="AB837" s="177"/>
      <c r="AC837" s="177"/>
    </row>
    <row r="838">
      <c r="A838" s="177"/>
      <c r="B838" s="177"/>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c r="AB838" s="177"/>
      <c r="AC838" s="177"/>
    </row>
    <row r="839">
      <c r="A839" s="177"/>
      <c r="B839" s="177"/>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c r="AB839" s="177"/>
      <c r="AC839" s="177"/>
    </row>
    <row r="840">
      <c r="A840" s="177"/>
      <c r="B840" s="177"/>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c r="AB840" s="177"/>
      <c r="AC840" s="177"/>
    </row>
    <row r="841">
      <c r="A841" s="177"/>
      <c r="B841" s="177"/>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c r="AB841" s="177"/>
      <c r="AC841" s="177"/>
    </row>
    <row r="842">
      <c r="A842" s="177"/>
      <c r="B842" s="177"/>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c r="AB842" s="177"/>
      <c r="AC842" s="177"/>
    </row>
    <row r="843">
      <c r="A843" s="177"/>
      <c r="B843" s="177"/>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c r="AB843" s="177"/>
      <c r="AC843" s="177"/>
    </row>
    <row r="844">
      <c r="A844" s="177"/>
      <c r="B844" s="177"/>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c r="AB844" s="177"/>
      <c r="AC844" s="177"/>
    </row>
    <row r="845">
      <c r="A845" s="177"/>
      <c r="B845" s="177"/>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c r="AB845" s="177"/>
      <c r="AC845" s="177"/>
    </row>
    <row r="846">
      <c r="A846" s="177"/>
      <c r="B846" s="177"/>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c r="AB846" s="177"/>
      <c r="AC846" s="177"/>
    </row>
    <row r="847">
      <c r="A847" s="177"/>
      <c r="B847" s="177"/>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c r="AB847" s="177"/>
      <c r="AC847" s="177"/>
    </row>
    <row r="848">
      <c r="A848" s="177"/>
      <c r="B848" s="177"/>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c r="AB848" s="177"/>
      <c r="AC848" s="177"/>
    </row>
    <row r="849">
      <c r="A849" s="177"/>
      <c r="B849" s="177"/>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c r="AB849" s="177"/>
      <c r="AC849" s="177"/>
    </row>
    <row r="850">
      <c r="A850" s="177"/>
      <c r="B850" s="177"/>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c r="AB850" s="177"/>
      <c r="AC850" s="177"/>
    </row>
    <row r="851">
      <c r="A851" s="177"/>
      <c r="B851" s="177"/>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c r="AB851" s="177"/>
      <c r="AC851" s="177"/>
    </row>
    <row r="852">
      <c r="A852" s="177"/>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c r="AB852" s="177"/>
      <c r="AC852" s="177"/>
    </row>
    <row r="853">
      <c r="A853" s="177"/>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c r="AB853" s="177"/>
      <c r="AC853" s="177"/>
    </row>
    <row r="854">
      <c r="A854" s="177"/>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c r="AB854" s="177"/>
      <c r="AC854" s="177"/>
    </row>
    <row r="855">
      <c r="A855" s="177"/>
      <c r="B855" s="177"/>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c r="AB855" s="177"/>
      <c r="AC855" s="177"/>
    </row>
    <row r="856">
      <c r="A856" s="177"/>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c r="AB856" s="177"/>
      <c r="AC856" s="177"/>
    </row>
    <row r="857">
      <c r="A857" s="177"/>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c r="AB857" s="177"/>
      <c r="AC857" s="177"/>
    </row>
    <row r="858">
      <c r="A858" s="177"/>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c r="AB858" s="177"/>
      <c r="AC858" s="177"/>
    </row>
    <row r="859">
      <c r="A859" s="177"/>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c r="AB859" s="177"/>
      <c r="AC859" s="177"/>
    </row>
    <row r="860">
      <c r="A860" s="177"/>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c r="AB860" s="177"/>
      <c r="AC860" s="177"/>
    </row>
    <row r="861">
      <c r="A861" s="177"/>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c r="AB861" s="177"/>
      <c r="AC861" s="177"/>
    </row>
    <row r="862">
      <c r="A862" s="177"/>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c r="AB862" s="177"/>
      <c r="AC862" s="177"/>
    </row>
    <row r="863">
      <c r="A863" s="177"/>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c r="AB863" s="177"/>
      <c r="AC863" s="177"/>
    </row>
    <row r="864">
      <c r="A864" s="177"/>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c r="AB864" s="177"/>
      <c r="AC864" s="177"/>
    </row>
    <row r="865">
      <c r="A865" s="177"/>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c r="AB865" s="177"/>
      <c r="AC865" s="177"/>
    </row>
    <row r="866">
      <c r="A866" s="177"/>
      <c r="B866" s="177"/>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c r="AB866" s="177"/>
      <c r="AC866" s="177"/>
    </row>
    <row r="867">
      <c r="A867" s="177"/>
      <c r="B867" s="177"/>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c r="AB867" s="177"/>
      <c r="AC867" s="177"/>
    </row>
    <row r="868">
      <c r="A868" s="177"/>
      <c r="B868" s="177"/>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c r="AB868" s="177"/>
      <c r="AC868" s="177"/>
    </row>
    <row r="869">
      <c r="A869" s="177"/>
      <c r="B869" s="177"/>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c r="AB869" s="177"/>
      <c r="AC869" s="177"/>
    </row>
    <row r="870">
      <c r="A870" s="177"/>
      <c r="B870" s="177"/>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c r="AB870" s="177"/>
      <c r="AC870" s="177"/>
    </row>
    <row r="871">
      <c r="A871" s="177"/>
      <c r="B871" s="177"/>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c r="AB871" s="177"/>
      <c r="AC871" s="177"/>
    </row>
    <row r="872">
      <c r="A872" s="177"/>
      <c r="B872" s="177"/>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c r="AB872" s="177"/>
      <c r="AC872" s="177"/>
    </row>
    <row r="873">
      <c r="A873" s="177"/>
      <c r="B873" s="177"/>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c r="AB873" s="177"/>
      <c r="AC873" s="177"/>
    </row>
    <row r="874">
      <c r="A874" s="177"/>
      <c r="B874" s="177"/>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c r="AB874" s="177"/>
      <c r="AC874" s="177"/>
    </row>
    <row r="875">
      <c r="A875" s="177"/>
      <c r="B875" s="177"/>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c r="AB875" s="177"/>
      <c r="AC875" s="177"/>
    </row>
    <row r="876">
      <c r="A876" s="177"/>
      <c r="B876" s="177"/>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c r="AB876" s="177"/>
      <c r="AC876" s="177"/>
    </row>
    <row r="877">
      <c r="A877" s="177"/>
      <c r="B877" s="177"/>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c r="AB877" s="177"/>
      <c r="AC877" s="177"/>
    </row>
    <row r="878">
      <c r="A878" s="177"/>
      <c r="B878" s="177"/>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c r="AB878" s="177"/>
      <c r="AC878" s="177"/>
    </row>
    <row r="879">
      <c r="A879" s="177"/>
      <c r="B879" s="177"/>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c r="AB879" s="177"/>
      <c r="AC879" s="177"/>
    </row>
    <row r="880">
      <c r="A880" s="177"/>
      <c r="B880" s="177"/>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c r="AB880" s="177"/>
      <c r="AC880" s="177"/>
    </row>
    <row r="881">
      <c r="A881" s="177"/>
      <c r="B881" s="177"/>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c r="AB881" s="177"/>
      <c r="AC881" s="177"/>
    </row>
    <row r="882">
      <c r="A882" s="177"/>
      <c r="B882" s="177"/>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c r="AB882" s="177"/>
      <c r="AC882" s="177"/>
    </row>
    <row r="883">
      <c r="A883" s="177"/>
      <c r="B883" s="177"/>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c r="AB883" s="177"/>
      <c r="AC883" s="177"/>
    </row>
    <row r="884">
      <c r="A884" s="177"/>
      <c r="B884" s="177"/>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c r="AB884" s="177"/>
      <c r="AC884" s="177"/>
    </row>
    <row r="885">
      <c r="A885" s="177"/>
      <c r="B885" s="177"/>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c r="AB885" s="177"/>
      <c r="AC885" s="177"/>
    </row>
    <row r="886">
      <c r="A886" s="177"/>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row>
    <row r="887">
      <c r="A887" s="177"/>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row>
    <row r="888">
      <c r="A888" s="177"/>
      <c r="B888" s="177"/>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c r="AB888" s="177"/>
      <c r="AC888" s="177"/>
    </row>
    <row r="889">
      <c r="A889" s="177"/>
      <c r="B889" s="177"/>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c r="AB889" s="177"/>
      <c r="AC889" s="177"/>
    </row>
    <row r="890">
      <c r="A890" s="177"/>
      <c r="B890" s="177"/>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c r="AB890" s="177"/>
      <c r="AC890" s="177"/>
    </row>
    <row r="891">
      <c r="A891" s="177"/>
      <c r="B891" s="177"/>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c r="AB891" s="177"/>
      <c r="AC891" s="177"/>
    </row>
    <row r="892">
      <c r="A892" s="177"/>
      <c r="B892" s="177"/>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c r="AB892" s="177"/>
      <c r="AC892" s="177"/>
    </row>
    <row r="893">
      <c r="A893" s="177"/>
      <c r="B893" s="177"/>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c r="AB893" s="177"/>
      <c r="AC893" s="177"/>
    </row>
    <row r="894">
      <c r="A894" s="177"/>
      <c r="B894" s="177"/>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c r="AB894" s="177"/>
      <c r="AC894" s="177"/>
    </row>
    <row r="895">
      <c r="A895" s="177"/>
      <c r="B895" s="177"/>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c r="AB895" s="177"/>
      <c r="AC895" s="177"/>
    </row>
    <row r="896">
      <c r="A896" s="177"/>
      <c r="B896" s="177"/>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c r="AB896" s="177"/>
      <c r="AC896" s="177"/>
    </row>
    <row r="897">
      <c r="A897" s="177"/>
      <c r="B897" s="177"/>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c r="AB897" s="177"/>
      <c r="AC897" s="177"/>
    </row>
    <row r="898">
      <c r="A898" s="177"/>
      <c r="B898" s="177"/>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c r="AB898" s="177"/>
      <c r="AC898" s="177"/>
    </row>
    <row r="899">
      <c r="A899" s="177"/>
      <c r="B899" s="177"/>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c r="AB899" s="177"/>
      <c r="AC899" s="177"/>
    </row>
    <row r="900">
      <c r="A900" s="177"/>
      <c r="B900" s="177"/>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c r="AB900" s="177"/>
      <c r="AC900" s="177"/>
    </row>
    <row r="901">
      <c r="A901" s="177"/>
      <c r="B901" s="177"/>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c r="AB901" s="177"/>
      <c r="AC901" s="177"/>
    </row>
    <row r="902">
      <c r="A902" s="177"/>
      <c r="B902" s="177"/>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c r="AB902" s="177"/>
      <c r="AC902" s="177"/>
    </row>
    <row r="903">
      <c r="A903" s="177"/>
      <c r="B903" s="177"/>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c r="AB903" s="177"/>
      <c r="AC903" s="177"/>
    </row>
    <row r="904">
      <c r="A904" s="177"/>
      <c r="B904" s="177"/>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c r="AB904" s="177"/>
      <c r="AC904" s="177"/>
    </row>
    <row r="905">
      <c r="A905" s="177"/>
      <c r="B905" s="177"/>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c r="AB905" s="177"/>
      <c r="AC905" s="177"/>
    </row>
    <row r="906">
      <c r="A906" s="177"/>
      <c r="B906" s="177"/>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c r="AB906" s="177"/>
      <c r="AC906" s="177"/>
    </row>
    <row r="907">
      <c r="A907" s="177"/>
      <c r="B907" s="177"/>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c r="AB907" s="177"/>
      <c r="AC907" s="177"/>
    </row>
    <row r="908">
      <c r="A908" s="177"/>
      <c r="B908" s="177"/>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c r="AB908" s="177"/>
      <c r="AC908" s="177"/>
    </row>
    <row r="909">
      <c r="A909" s="177"/>
      <c r="B909" s="177"/>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c r="AB909" s="177"/>
      <c r="AC909" s="177"/>
    </row>
    <row r="910">
      <c r="A910" s="177"/>
      <c r="B910" s="177"/>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c r="AB910" s="177"/>
      <c r="AC910" s="177"/>
    </row>
    <row r="911">
      <c r="A911" s="177"/>
      <c r="B911" s="177"/>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c r="AB911" s="177"/>
      <c r="AC911" s="177"/>
    </row>
    <row r="912">
      <c r="A912" s="177"/>
      <c r="B912" s="177"/>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c r="AB912" s="177"/>
      <c r="AC912" s="177"/>
    </row>
    <row r="913">
      <c r="A913" s="177"/>
      <c r="B913" s="177"/>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c r="AB913" s="177"/>
      <c r="AC913" s="177"/>
    </row>
    <row r="914">
      <c r="A914" s="177"/>
      <c r="B914" s="177"/>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c r="AB914" s="177"/>
      <c r="AC914" s="177"/>
    </row>
    <row r="915">
      <c r="A915" s="177"/>
      <c r="B915" s="177"/>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c r="AB915" s="177"/>
      <c r="AC915" s="177"/>
    </row>
    <row r="916">
      <c r="A916" s="177"/>
      <c r="B916" s="177"/>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c r="AB916" s="177"/>
      <c r="AC916" s="177"/>
    </row>
    <row r="917">
      <c r="A917" s="177"/>
      <c r="B917" s="177"/>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c r="AB917" s="177"/>
      <c r="AC917" s="177"/>
    </row>
    <row r="918">
      <c r="A918" s="177"/>
      <c r="B918" s="177"/>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c r="AB918" s="177"/>
      <c r="AC918" s="177"/>
    </row>
    <row r="919">
      <c r="A919" s="177"/>
      <c r="B919" s="177"/>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c r="AB919" s="177"/>
      <c r="AC919" s="177"/>
    </row>
    <row r="920">
      <c r="A920" s="177"/>
      <c r="B920" s="177"/>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c r="AB920" s="177"/>
      <c r="AC920" s="177"/>
    </row>
    <row r="921">
      <c r="A921" s="177"/>
      <c r="B921" s="177"/>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c r="AB921" s="177"/>
      <c r="AC921" s="177"/>
    </row>
    <row r="922">
      <c r="A922" s="177"/>
      <c r="B922" s="177"/>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c r="AB922" s="177"/>
      <c r="AC922" s="177"/>
    </row>
    <row r="923">
      <c r="A923" s="177"/>
      <c r="B923" s="177"/>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c r="AB923" s="177"/>
      <c r="AC923" s="177"/>
    </row>
    <row r="924">
      <c r="A924" s="177"/>
      <c r="B924" s="177"/>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c r="AB924" s="177"/>
      <c r="AC924" s="177"/>
    </row>
    <row r="925">
      <c r="A925" s="177"/>
      <c r="B925" s="177"/>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c r="AB925" s="177"/>
      <c r="AC925" s="177"/>
    </row>
    <row r="926">
      <c r="A926" s="177"/>
      <c r="B926" s="177"/>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c r="AB926" s="177"/>
      <c r="AC926" s="177"/>
    </row>
    <row r="927">
      <c r="A927" s="177"/>
      <c r="B927" s="177"/>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c r="AB927" s="177"/>
      <c r="AC927" s="177"/>
    </row>
    <row r="928">
      <c r="A928" s="177"/>
      <c r="B928" s="177"/>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c r="AB928" s="177"/>
      <c r="AC928" s="177"/>
    </row>
    <row r="929">
      <c r="A929" s="177"/>
      <c r="B929" s="177"/>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c r="AB929" s="177"/>
      <c r="AC929" s="177"/>
    </row>
    <row r="930">
      <c r="A930" s="177"/>
      <c r="B930" s="177"/>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c r="AB930" s="177"/>
      <c r="AC930" s="177"/>
    </row>
    <row r="931">
      <c r="A931" s="177"/>
      <c r="B931" s="177"/>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c r="AB931" s="177"/>
      <c r="AC931" s="177"/>
    </row>
    <row r="932">
      <c r="A932" s="177"/>
      <c r="B932" s="177"/>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c r="AB932" s="177"/>
      <c r="AC932" s="177"/>
    </row>
    <row r="933">
      <c r="A933" s="177"/>
      <c r="B933" s="177"/>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c r="AB933" s="177"/>
      <c r="AC933" s="177"/>
    </row>
    <row r="934">
      <c r="A934" s="177"/>
      <c r="B934" s="177"/>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c r="AB934" s="177"/>
      <c r="AC934" s="177"/>
    </row>
    <row r="935">
      <c r="A935" s="177"/>
      <c r="B935" s="177"/>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c r="AB935" s="177"/>
      <c r="AC935" s="177"/>
    </row>
    <row r="936">
      <c r="A936" s="177"/>
      <c r="B936" s="177"/>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c r="AB936" s="177"/>
      <c r="AC936" s="177"/>
    </row>
    <row r="937">
      <c r="A937" s="177"/>
      <c r="B937" s="177"/>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c r="AB937" s="177"/>
      <c r="AC937" s="177"/>
    </row>
    <row r="938">
      <c r="A938" s="177"/>
      <c r="B938" s="177"/>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c r="AB938" s="177"/>
      <c r="AC938" s="177"/>
    </row>
    <row r="939">
      <c r="A939" s="177"/>
      <c r="B939" s="177"/>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c r="AB939" s="177"/>
      <c r="AC939" s="177"/>
    </row>
    <row r="940">
      <c r="A940" s="177"/>
      <c r="B940" s="177"/>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c r="AB940" s="177"/>
      <c r="AC940" s="177"/>
    </row>
    <row r="941">
      <c r="A941" s="177"/>
      <c r="B941" s="177"/>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c r="AB941" s="177"/>
      <c r="AC941" s="177"/>
    </row>
    <row r="942">
      <c r="A942" s="177"/>
      <c r="B942" s="177"/>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c r="AB942" s="177"/>
      <c r="AC942" s="177"/>
    </row>
    <row r="943">
      <c r="A943" s="177"/>
      <c r="B943" s="177"/>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c r="AB943" s="177"/>
      <c r="AC943" s="177"/>
    </row>
    <row r="944">
      <c r="A944" s="177"/>
      <c r="B944" s="177"/>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c r="AB944" s="177"/>
      <c r="AC944" s="177"/>
    </row>
    <row r="945">
      <c r="A945" s="177"/>
      <c r="B945" s="177"/>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c r="AB945" s="177"/>
      <c r="AC945" s="177"/>
    </row>
    <row r="946">
      <c r="A946" s="177"/>
      <c r="B946" s="177"/>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c r="AB946" s="177"/>
      <c r="AC946" s="177"/>
    </row>
    <row r="947">
      <c r="A947" s="177"/>
      <c r="B947" s="177"/>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c r="AB947" s="177"/>
      <c r="AC947" s="177"/>
    </row>
    <row r="948">
      <c r="A948" s="177"/>
      <c r="B948" s="177"/>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c r="AB948" s="177"/>
      <c r="AC948" s="177"/>
    </row>
    <row r="949">
      <c r="A949" s="177"/>
      <c r="B949" s="177"/>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c r="AB949" s="177"/>
      <c r="AC949" s="177"/>
    </row>
    <row r="950">
      <c r="A950" s="177"/>
      <c r="B950" s="177"/>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c r="AB950" s="177"/>
      <c r="AC950" s="177"/>
    </row>
    <row r="951">
      <c r="A951" s="177"/>
      <c r="B951" s="177"/>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c r="AB951" s="177"/>
      <c r="AC951" s="177"/>
    </row>
    <row r="952">
      <c r="A952" s="177"/>
      <c r="B952" s="177"/>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c r="AB952" s="177"/>
      <c r="AC952" s="177"/>
    </row>
    <row r="953">
      <c r="A953" s="177"/>
      <c r="B953" s="177"/>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c r="AB953" s="177"/>
      <c r="AC953" s="177"/>
    </row>
    <row r="954">
      <c r="A954" s="177"/>
      <c r="B954" s="177"/>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c r="AB954" s="177"/>
      <c r="AC954" s="177"/>
    </row>
    <row r="955">
      <c r="A955" s="177"/>
      <c r="B955" s="177"/>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c r="AB955" s="177"/>
      <c r="AC955" s="177"/>
    </row>
    <row r="956">
      <c r="A956" s="177"/>
      <c r="B956" s="177"/>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c r="AB956" s="177"/>
      <c r="AC956" s="177"/>
    </row>
    <row r="957">
      <c r="A957" s="177"/>
      <c r="B957" s="177"/>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c r="AB957" s="177"/>
      <c r="AC957" s="177"/>
    </row>
    <row r="958">
      <c r="A958" s="177"/>
      <c r="B958" s="177"/>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c r="AB958" s="177"/>
      <c r="AC958" s="177"/>
    </row>
    <row r="959">
      <c r="A959" s="177"/>
      <c r="B959" s="177"/>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c r="AB959" s="177"/>
      <c r="AC959" s="177"/>
    </row>
    <row r="960">
      <c r="A960" s="177"/>
      <c r="B960" s="177"/>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c r="AB960" s="177"/>
      <c r="AC960" s="177"/>
    </row>
    <row r="961">
      <c r="A961" s="177"/>
      <c r="B961" s="177"/>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c r="AB961" s="177"/>
      <c r="AC961" s="177"/>
    </row>
    <row r="962">
      <c r="A962" s="177"/>
      <c r="B962" s="177"/>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c r="AB962" s="177"/>
      <c r="AC962" s="177"/>
    </row>
    <row r="963">
      <c r="A963" s="177"/>
      <c r="B963" s="177"/>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c r="AB963" s="177"/>
      <c r="AC963" s="177"/>
    </row>
    <row r="964">
      <c r="A964" s="177"/>
      <c r="B964" s="177"/>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c r="AB964" s="177"/>
      <c r="AC964" s="177"/>
    </row>
    <row r="965">
      <c r="A965" s="177"/>
      <c r="B965" s="177"/>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c r="AB965" s="177"/>
      <c r="AC965" s="177"/>
    </row>
    <row r="966">
      <c r="A966" s="177"/>
      <c r="B966" s="177"/>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c r="AB966" s="177"/>
      <c r="AC966" s="177"/>
    </row>
    <row r="967">
      <c r="A967" s="177"/>
      <c r="B967" s="177"/>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c r="AB967" s="177"/>
      <c r="AC967" s="177"/>
    </row>
    <row r="968">
      <c r="A968" s="177"/>
      <c r="B968" s="177"/>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c r="AB968" s="177"/>
      <c r="AC968" s="177"/>
    </row>
    <row r="969">
      <c r="A969" s="177"/>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row>
    <row r="970">
      <c r="A970" s="177"/>
      <c r="B970" s="177"/>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c r="AB970" s="177"/>
      <c r="AC970" s="177"/>
    </row>
    <row r="971">
      <c r="A971" s="177"/>
      <c r="B971" s="177"/>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c r="AB971" s="177"/>
      <c r="AC971" s="177"/>
    </row>
    <row r="972">
      <c r="A972" s="177"/>
      <c r="B972" s="177"/>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c r="AB972" s="177"/>
      <c r="AC972" s="177"/>
    </row>
    <row r="973">
      <c r="A973" s="177"/>
      <c r="B973" s="177"/>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c r="AB973" s="177"/>
      <c r="AC973" s="177"/>
    </row>
    <row r="974">
      <c r="A974" s="177"/>
      <c r="B974" s="177"/>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c r="AB974" s="177"/>
      <c r="AC974" s="177"/>
    </row>
    <row r="975">
      <c r="A975" s="177"/>
      <c r="B975" s="177"/>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c r="AB975" s="177"/>
      <c r="AC975" s="177"/>
    </row>
    <row r="976">
      <c r="A976" s="177"/>
      <c r="B976" s="177"/>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c r="AB976" s="177"/>
      <c r="AC976" s="177"/>
    </row>
    <row r="977">
      <c r="A977" s="177"/>
      <c r="B977" s="177"/>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c r="AB977" s="177"/>
      <c r="AC977" s="177"/>
    </row>
    <row r="978">
      <c r="A978" s="177"/>
      <c r="B978" s="177"/>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c r="AB978" s="177"/>
      <c r="AC978" s="177"/>
    </row>
    <row r="979">
      <c r="A979" s="177"/>
      <c r="B979" s="177"/>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c r="AB979" s="177"/>
      <c r="AC979" s="177"/>
    </row>
    <row r="980">
      <c r="A980" s="177"/>
      <c r="B980" s="177"/>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c r="AB980" s="177"/>
      <c r="AC980" s="177"/>
    </row>
    <row r="981">
      <c r="A981" s="177"/>
      <c r="B981" s="177"/>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c r="AB981" s="177"/>
      <c r="AC981" s="177"/>
    </row>
    <row r="982">
      <c r="A982" s="177"/>
      <c r="B982" s="177"/>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c r="AB982" s="177"/>
      <c r="AC982" s="177"/>
    </row>
    <row r="983">
      <c r="A983" s="177"/>
      <c r="B983" s="177"/>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c r="AB983" s="177"/>
      <c r="AC983" s="177"/>
    </row>
    <row r="984">
      <c r="A984" s="177"/>
      <c r="B984" s="177"/>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c r="AB984" s="177"/>
      <c r="AC984" s="177"/>
    </row>
    <row r="985">
      <c r="A985" s="177"/>
      <c r="B985" s="177"/>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c r="AB985" s="177"/>
      <c r="AC985" s="177"/>
    </row>
    <row r="986">
      <c r="A986" s="177"/>
      <c r="B986" s="177"/>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c r="AB986" s="177"/>
      <c r="AC986" s="177"/>
    </row>
    <row r="987">
      <c r="A987" s="177"/>
      <c r="B987" s="177"/>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c r="AB987" s="177"/>
      <c r="AC987" s="177"/>
    </row>
    <row r="988">
      <c r="A988" s="177"/>
      <c r="B988" s="177"/>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c r="AB988" s="177"/>
      <c r="AC988" s="177"/>
    </row>
    <row r="989">
      <c r="A989" s="177"/>
      <c r="B989" s="177"/>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c r="AB989" s="177"/>
      <c r="AC989" s="177"/>
    </row>
    <row r="990">
      <c r="A990" s="177"/>
      <c r="B990" s="177"/>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c r="AB990" s="177"/>
      <c r="AC990" s="177"/>
    </row>
    <row r="991">
      <c r="A991" s="177"/>
      <c r="B991" s="177"/>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c r="AB991" s="177"/>
      <c r="AC991" s="177"/>
    </row>
    <row r="992">
      <c r="A992" s="177"/>
      <c r="B992" s="177"/>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c r="AB992" s="177"/>
      <c r="AC992" s="177"/>
    </row>
    <row r="993">
      <c r="A993" s="177"/>
      <c r="B993" s="177"/>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c r="AB993" s="177"/>
      <c r="AC993" s="177"/>
    </row>
  </sheetData>
  <dataValidations>
    <dataValidation type="custom" allowBlank="1" showDropDown="1" sqref="C2:D17 D21:D32">
      <formula1>AND(ISNUMBER(C2),(NOT(OR(NOT(ISERROR(DATEVALUE(C2))), AND(ISNUMBER(C2), LEFT(CELL("format", C2))="D")))))</formula1>
    </dataValidation>
  </dataValidations>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6" width="10.63"/>
  </cols>
  <sheetData>
    <row r="2">
      <c r="A2" s="426" t="s">
        <v>2002</v>
      </c>
      <c r="B2" s="427" t="s">
        <v>560</v>
      </c>
      <c r="C2" s="427" t="s">
        <v>561</v>
      </c>
      <c r="D2" s="427" t="s">
        <v>562</v>
      </c>
      <c r="E2" s="427" t="s">
        <v>563</v>
      </c>
      <c r="F2" s="427" t="s">
        <v>564</v>
      </c>
      <c r="G2" s="428"/>
      <c r="H2" s="428"/>
    </row>
    <row r="3">
      <c r="A3" s="427" t="s">
        <v>567</v>
      </c>
      <c r="B3" s="427">
        <v>3.0</v>
      </c>
      <c r="C3" s="428"/>
      <c r="D3" s="427">
        <v>4.0</v>
      </c>
      <c r="E3" s="427">
        <v>1.0</v>
      </c>
      <c r="F3" s="428"/>
      <c r="G3" s="428">
        <f t="shared" ref="G3:G6" si="1">SUM(B3:F3)</f>
        <v>8</v>
      </c>
      <c r="H3" s="428"/>
    </row>
    <row r="4">
      <c r="A4" s="427" t="s">
        <v>570</v>
      </c>
      <c r="B4" s="427">
        <v>3.0</v>
      </c>
      <c r="C4" s="427">
        <v>1.0</v>
      </c>
      <c r="D4" s="427">
        <v>4.0</v>
      </c>
      <c r="E4" s="427">
        <v>1.0</v>
      </c>
      <c r="F4" s="428"/>
      <c r="G4" s="428">
        <f t="shared" si="1"/>
        <v>9</v>
      </c>
      <c r="H4" s="428"/>
    </row>
    <row r="5">
      <c r="A5" s="427" t="s">
        <v>573</v>
      </c>
      <c r="B5" s="427">
        <v>6.0</v>
      </c>
      <c r="C5" s="428"/>
      <c r="D5" s="427">
        <v>13.0</v>
      </c>
      <c r="E5" s="428"/>
      <c r="F5" s="428"/>
      <c r="G5" s="428">
        <f t="shared" si="1"/>
        <v>19</v>
      </c>
      <c r="H5" s="428"/>
    </row>
    <row r="6">
      <c r="A6" s="427" t="s">
        <v>576</v>
      </c>
      <c r="B6" s="428"/>
      <c r="C6" s="428"/>
      <c r="D6" s="428"/>
      <c r="E6" s="427">
        <v>9.0</v>
      </c>
      <c r="F6" s="428"/>
      <c r="G6" s="428">
        <f t="shared" si="1"/>
        <v>9</v>
      </c>
      <c r="H6" s="428"/>
    </row>
    <row r="8">
      <c r="A8" s="426" t="s">
        <v>2003</v>
      </c>
      <c r="B8" s="427" t="s">
        <v>560</v>
      </c>
      <c r="C8" s="427" t="s">
        <v>561</v>
      </c>
      <c r="D8" s="427" t="s">
        <v>562</v>
      </c>
      <c r="E8" s="427" t="s">
        <v>563</v>
      </c>
      <c r="F8" s="427" t="s">
        <v>564</v>
      </c>
      <c r="G8" s="428"/>
      <c r="H8" s="428"/>
    </row>
    <row r="9">
      <c r="A9" s="427" t="s">
        <v>567</v>
      </c>
      <c r="B9" s="427"/>
      <c r="C9" s="427">
        <v>0.0</v>
      </c>
      <c r="D9" s="427">
        <v>6.0</v>
      </c>
      <c r="E9" s="427">
        <v>1.0</v>
      </c>
      <c r="F9" s="427">
        <v>3.0</v>
      </c>
      <c r="G9" s="428">
        <v>10.0</v>
      </c>
      <c r="H9" s="429">
        <f t="shared" ref="H9:H12" si="2">G9/G3-100%</f>
        <v>0.25</v>
      </c>
    </row>
    <row r="10">
      <c r="A10" s="427" t="s">
        <v>570</v>
      </c>
      <c r="B10" s="427"/>
      <c r="C10" s="427">
        <v>2.0</v>
      </c>
      <c r="D10" s="427">
        <v>2.0</v>
      </c>
      <c r="E10" s="427"/>
      <c r="F10" s="428"/>
      <c r="G10" s="428">
        <v>4.0</v>
      </c>
      <c r="H10" s="429">
        <f t="shared" si="2"/>
        <v>-0.5555555556</v>
      </c>
    </row>
    <row r="11">
      <c r="A11" s="427" t="s">
        <v>573</v>
      </c>
      <c r="B11" s="427"/>
      <c r="C11" s="427">
        <v>3.0</v>
      </c>
      <c r="D11" s="427">
        <v>9.0</v>
      </c>
      <c r="E11" s="427">
        <v>4.0</v>
      </c>
      <c r="F11" s="428"/>
      <c r="G11" s="428">
        <v>16.0</v>
      </c>
      <c r="H11" s="429">
        <f t="shared" si="2"/>
        <v>-0.1578947368</v>
      </c>
    </row>
    <row r="12">
      <c r="A12" s="427" t="s">
        <v>576</v>
      </c>
      <c r="B12" s="428"/>
      <c r="C12" s="427">
        <v>0.0</v>
      </c>
      <c r="D12" s="428"/>
      <c r="E12" s="427">
        <v>9.0</v>
      </c>
      <c r="F12" s="427"/>
      <c r="G12" s="428">
        <v>9.0</v>
      </c>
      <c r="H12" s="429">
        <f t="shared" si="2"/>
        <v>0</v>
      </c>
    </row>
    <row r="13">
      <c r="A13" s="428"/>
      <c r="B13" s="428"/>
      <c r="C13" s="428"/>
      <c r="D13" s="428"/>
      <c r="E13" s="428"/>
      <c r="F13" s="428"/>
      <c r="G13" s="428">
        <v>39.0</v>
      </c>
      <c r="H13" s="427" t="s">
        <v>830</v>
      </c>
    </row>
    <row r="15">
      <c r="A15" s="426" t="s">
        <v>2004</v>
      </c>
      <c r="B15" s="427" t="s">
        <v>560</v>
      </c>
      <c r="C15" s="427" t="s">
        <v>561</v>
      </c>
      <c r="D15" s="427" t="s">
        <v>562</v>
      </c>
      <c r="E15" s="427" t="s">
        <v>563</v>
      </c>
      <c r="F15" s="427" t="s">
        <v>564</v>
      </c>
      <c r="G15" s="428"/>
      <c r="H15" s="428"/>
    </row>
    <row r="16">
      <c r="A16" s="427" t="s">
        <v>567</v>
      </c>
      <c r="B16" s="427">
        <v>3.0</v>
      </c>
      <c r="C16" s="427">
        <v>1.0</v>
      </c>
      <c r="D16" s="427">
        <v>4.0</v>
      </c>
      <c r="E16" s="427">
        <v>3.0</v>
      </c>
      <c r="F16" s="427">
        <v>1.0</v>
      </c>
      <c r="G16" s="428">
        <v>12.0</v>
      </c>
      <c r="H16" s="429">
        <v>0.19999999999999996</v>
      </c>
    </row>
    <row r="17">
      <c r="A17" s="427" t="s">
        <v>570</v>
      </c>
      <c r="B17" s="427">
        <v>3.0</v>
      </c>
      <c r="C17" s="427">
        <v>1.0</v>
      </c>
      <c r="D17" s="427">
        <v>1.0</v>
      </c>
      <c r="E17" s="427"/>
      <c r="F17" s="428"/>
      <c r="G17" s="428">
        <v>5.0</v>
      </c>
      <c r="H17" s="429">
        <v>0.25</v>
      </c>
    </row>
    <row r="18">
      <c r="A18" s="427" t="s">
        <v>573</v>
      </c>
      <c r="B18" s="427">
        <v>5.0</v>
      </c>
      <c r="C18" s="427">
        <v>1.0</v>
      </c>
      <c r="D18" s="427">
        <v>4.0</v>
      </c>
      <c r="E18" s="427">
        <v>9.0</v>
      </c>
      <c r="F18" s="427">
        <v>7.0</v>
      </c>
      <c r="G18" s="428">
        <v>26.0</v>
      </c>
      <c r="H18" s="429">
        <v>0.625</v>
      </c>
    </row>
    <row r="19">
      <c r="A19" s="427" t="s">
        <v>576</v>
      </c>
      <c r="B19" s="427" t="s">
        <v>1035</v>
      </c>
      <c r="C19" s="427"/>
      <c r="D19" s="427">
        <v>1.0</v>
      </c>
      <c r="E19" s="427">
        <v>8.0</v>
      </c>
      <c r="F19" s="427">
        <v>1.0</v>
      </c>
      <c r="G19" s="428">
        <v>10.0</v>
      </c>
      <c r="H19" s="429">
        <v>0.11111111111111116</v>
      </c>
    </row>
    <row r="20">
      <c r="A20" s="428"/>
      <c r="B20" s="428"/>
      <c r="C20" s="428"/>
      <c r="D20" s="428"/>
      <c r="E20" s="428"/>
      <c r="F20" s="428"/>
      <c r="G20" s="428">
        <v>53.0</v>
      </c>
      <c r="H20" s="427" t="s">
        <v>1038</v>
      </c>
    </row>
  </sheetData>
  <drawing r:id="rId1"/>
</worksheet>
</file>